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info alaro\DNICYT 2025\SISTEMA DE REORDENAMIENTO SEPTIEMBRE\EQUIPOS LABORATORIOS_07_11\UACB\"/>
    </mc:Choice>
  </mc:AlternateContent>
  <xr:revisionPtr revIDLastSave="0" documentId="8_{16FE3DC7-5021-4BE4-A72D-12E45768997D}" xr6:coauthVersionLast="47" xr6:coauthVersionMax="47" xr10:uidLastSave="{00000000-0000-0000-0000-000000000000}"/>
  <bookViews>
    <workbookView xWindow="-120" yWindow="-120" windowWidth="29040" windowHeight="15990" xr2:uid="{D14F860B-A4EC-4C3E-A87F-E1875058B74D}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2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694" i="1"/>
  <c r="G737" i="1"/>
  <c r="G738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694" i="1"/>
  <c r="C694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32" i="1"/>
  <c r="C632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547" i="1"/>
  <c r="G624" i="1"/>
  <c r="G625" i="1"/>
  <c r="G626" i="1"/>
  <c r="G627" i="1"/>
  <c r="G628" i="1"/>
  <c r="G629" i="1"/>
  <c r="G630" i="1"/>
  <c r="G631" i="1"/>
  <c r="G617" i="1"/>
  <c r="G618" i="1"/>
  <c r="G619" i="1"/>
  <c r="G620" i="1"/>
  <c r="G621" i="1"/>
  <c r="G622" i="1"/>
  <c r="G623" i="1"/>
  <c r="G615" i="1"/>
  <c r="G604" i="1"/>
  <c r="G605" i="1"/>
  <c r="G606" i="1"/>
  <c r="G607" i="1"/>
  <c r="G608" i="1"/>
  <c r="G609" i="1"/>
  <c r="G610" i="1"/>
  <c r="G611" i="1"/>
  <c r="G612" i="1"/>
  <c r="G613" i="1"/>
  <c r="G614" i="1"/>
  <c r="G616" i="1"/>
  <c r="G599" i="1"/>
  <c r="G600" i="1"/>
  <c r="G601" i="1"/>
  <c r="G602" i="1"/>
  <c r="G603" i="1"/>
  <c r="G589" i="1"/>
  <c r="G590" i="1"/>
  <c r="G591" i="1"/>
  <c r="G592" i="1"/>
  <c r="G593" i="1"/>
  <c r="G594" i="1"/>
  <c r="G595" i="1"/>
  <c r="G596" i="1"/>
  <c r="G597" i="1"/>
  <c r="G598" i="1"/>
  <c r="G579" i="1"/>
  <c r="G580" i="1"/>
  <c r="G581" i="1"/>
  <c r="G582" i="1"/>
  <c r="G583" i="1"/>
  <c r="G584" i="1"/>
  <c r="G585" i="1"/>
  <c r="G586" i="1"/>
  <c r="G587" i="1"/>
  <c r="G588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47" i="1"/>
  <c r="C547" i="1"/>
  <c r="C307" i="1"/>
  <c r="C308" i="1"/>
  <c r="C506" i="1" l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05" i="1"/>
  <c r="C505" i="1"/>
  <c r="C501" i="1"/>
  <c r="C502" i="1"/>
  <c r="C503" i="1"/>
  <c r="C504" i="1"/>
  <c r="I501" i="1"/>
  <c r="I502" i="1"/>
  <c r="I503" i="1"/>
  <c r="I504" i="1"/>
  <c r="I500" i="1"/>
  <c r="G501" i="1"/>
  <c r="G502" i="1"/>
  <c r="G503" i="1"/>
  <c r="G504" i="1"/>
  <c r="G500" i="1"/>
  <c r="C500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474" i="1"/>
  <c r="I473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47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04" i="1"/>
  <c r="C404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97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343" i="1"/>
  <c r="G344" i="1"/>
  <c r="G345" i="1"/>
  <c r="G346" i="1"/>
  <c r="G347" i="1"/>
  <c r="G348" i="1"/>
  <c r="G349" i="1"/>
  <c r="G350" i="1"/>
  <c r="G351" i="1"/>
  <c r="G352" i="1"/>
  <c r="G353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36" i="1"/>
  <c r="G237" i="1"/>
  <c r="G238" i="1"/>
  <c r="G239" i="1"/>
  <c r="G240" i="1"/>
  <c r="G241" i="1"/>
  <c r="G242" i="1"/>
  <c r="G243" i="1"/>
  <c r="G244" i="1"/>
  <c r="G245" i="1"/>
  <c r="G246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13" i="1"/>
  <c r="G214" i="1"/>
  <c r="G215" i="1"/>
  <c r="G216" i="1"/>
  <c r="G217" i="1"/>
  <c r="G218" i="1"/>
  <c r="G219" i="1"/>
  <c r="G220" i="1"/>
  <c r="G221" i="1"/>
  <c r="G222" i="1"/>
  <c r="G223" i="1"/>
  <c r="G205" i="1"/>
  <c r="G206" i="1"/>
  <c r="G207" i="1"/>
  <c r="G208" i="1"/>
  <c r="G209" i="1"/>
  <c r="G210" i="1"/>
  <c r="G211" i="1"/>
  <c r="G212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97" i="1"/>
  <c r="C97" i="1"/>
  <c r="H10" i="1"/>
  <c r="H12" i="1"/>
  <c r="H3" i="1" l="1"/>
  <c r="H4" i="1"/>
  <c r="H5" i="1"/>
  <c r="H6" i="1"/>
  <c r="H7" i="1"/>
  <c r="H8" i="1"/>
  <c r="H9" i="1"/>
  <c r="H11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2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3" i="1"/>
  <c r="G4" i="1"/>
  <c r="G2" i="1"/>
</calcChain>
</file>

<file path=xl/sharedStrings.xml><?xml version="1.0" encoding="utf-8"?>
<sst xmlns="http://schemas.openxmlformats.org/spreadsheetml/2006/main" count="2550" uniqueCount="139">
  <si>
    <t>N</t>
  </si>
  <si>
    <t>ESTADO</t>
  </si>
  <si>
    <t>UNIDAD ACADEMICA</t>
  </si>
  <si>
    <t>RESPONSABLE</t>
  </si>
  <si>
    <t>CARGO</t>
  </si>
  <si>
    <t>OFICINA</t>
  </si>
  <si>
    <t>DESCRIPCION DEL ACTIVO</t>
  </si>
  <si>
    <t>CODIGO</t>
  </si>
  <si>
    <t>C.I.</t>
  </si>
  <si>
    <t>FECHA DE ASIGNACION</t>
  </si>
  <si>
    <t>MARYSABEL FLORES FLORES</t>
  </si>
  <si>
    <t>Encargada de laboratorio</t>
  </si>
  <si>
    <t>UASC</t>
  </si>
  <si>
    <t>Encargado De Laboratorio de Ciencias Civiles</t>
  </si>
  <si>
    <t>Encargado de Laboratorio de Electronica</t>
  </si>
  <si>
    <t>REFLECTROMETRO OPTIO EN EL DOMINIO DEL TIEMPO(OTDR) MARCA:SINOMOR MODELO: OT6300 D40</t>
  </si>
  <si>
    <t>GENERADOR DE FUNCIONES; N/S; 364A15145</t>
  </si>
  <si>
    <t>GENERADOR DE FUNCIONES; N/S; 364A15135</t>
  </si>
  <si>
    <t>GENERADOR DE FUNCIONES; N/S; 364A15134</t>
  </si>
  <si>
    <t>GENERADOR DE FUNCIONES; N/S; 364A15132</t>
  </si>
  <si>
    <t>GENERADOR DE FUNCIONES; N/S; 364A15114</t>
  </si>
  <si>
    <t>GENERADOR DE FUNCIONES; N/S; 364A15111</t>
  </si>
  <si>
    <t>GENERADOR DE FUNCIONES; N/S; 364A15110</t>
  </si>
  <si>
    <t>GENERADOR DE FUNCIONES; N/S; 364A15102</t>
  </si>
  <si>
    <t>GENERADOR DE SE­AL 12 MHZ, MARCA: BKPRECISION, MODELO: 4014B, SERIE: 364L13178, GARANTIA DE 3 A­OS.</t>
  </si>
  <si>
    <t>GENERADOR DE SE­AL 12 MHZ, MARCA: BKPRECISION, MODELO: 4014B, SERIE: 364L13177, GARANTIA DE 3 A­OS.</t>
  </si>
  <si>
    <t>GENERADOR DE SE­AL 12 MHZ, MARCA: BKPRECISION, MODELO: 4014B, SERIE: 364L13176, GARANTIA DE 3 A­OS.</t>
  </si>
  <si>
    <t>GENERADOR DE SE­AL 12 MHZ, MARCA: BKPRECISION, MODELO: 4014B, SERIE: 364L13173, GARANTIA DE 3 A­OS.</t>
  </si>
  <si>
    <t>GENERADOR DE SE­AL 12 MHZ, MARCA: BKPRECISION, MODELO: 4014B, SERIE: 364L13164, GARANTIA DE 3 A­OS.</t>
  </si>
  <si>
    <t>GENERADOR DE SE­AL 12 MHZ, MARCA: BKPRECISION, MODELO: 4014B, SERIE: 364L13151, GARANTIA DE 3 A­OS.</t>
  </si>
  <si>
    <t>GENERADOR DE SE­AL 12 MHZ, MARCA: BKPRECISION, MODELO: 4014B, SERIE: 364L13106, GARANTIA DE 3 A­OS.</t>
  </si>
  <si>
    <t>GENERADOR DE SE­AL 12 MHZ, MARCA: BKPRECISION, MODELO: 4014B, SERIE: 364B14131, GARANTIA DE 3 A­OS.</t>
  </si>
  <si>
    <t>ANALIZADOR DE ESPECTRO; N/S GEP170815</t>
  </si>
  <si>
    <t>ANALIZADOR DE ESPECTRO; N/S GEP170795</t>
  </si>
  <si>
    <t>ANALIZADOR DE ESPECTRO; N/S GEP170734</t>
  </si>
  <si>
    <t>ANALIZADOR DE ESPECTRO; N/S GEP170728</t>
  </si>
  <si>
    <t>ANALIZADOR DE ESPECTRO; N/S GEP170726</t>
  </si>
  <si>
    <t>ANALIZADOR DE ESPECTRO; N/S GEP132034</t>
  </si>
  <si>
    <t>ANALIZADOR DE ESPECTRO; N/S GEP132027</t>
  </si>
  <si>
    <t>ANALIZADOR DE ESPECTRO; N/S GEP132022</t>
  </si>
  <si>
    <t>KIT DE FIBRA OPTICA MARCA: KOMSHINE MODELO: KFH-11DSC</t>
  </si>
  <si>
    <t>TRAINNERS DE 8085 OZ - 80 O 6800, ELENCO MICROPROCESADOR PPI=815</t>
  </si>
  <si>
    <t>TRAINER DE RADIO FRECUENCIA N/S; GEO863389</t>
  </si>
  <si>
    <t>TRAINER DE RADIO FRECUENCIA N/S; GEO849469</t>
  </si>
  <si>
    <t>TRAINER DE RADIO FRECUENCIA N/S; GEO849468</t>
  </si>
  <si>
    <t>TRAINER DE RADIO FRECUENCIA N/S; GEO849459</t>
  </si>
  <si>
    <t>TRAINER DE RADIO FRECUENCIA N/S; GEO849455</t>
  </si>
  <si>
    <t>TRAINER DE RADIO FRECUENCIA N/S; GEO849448</t>
  </si>
  <si>
    <t>TRAINER DE RADIO FRECUENCIA N/S; GEO849447</t>
  </si>
  <si>
    <t>TRAINER DE RADIO FRECUENCIA N/S; GEO811880</t>
  </si>
  <si>
    <t>FUENTE DE ALIMENTACION DE OV-30V 5A</t>
  </si>
  <si>
    <t>FUENTE DE PODER N/S; GEP872118</t>
  </si>
  <si>
    <t>FUENTE DE PODER N/S; GEP872117</t>
  </si>
  <si>
    <t>FUENTE DE PODER N/S; GEP872108</t>
  </si>
  <si>
    <t>FUENTE DE PODER N/S; GEP872106</t>
  </si>
  <si>
    <t>FUENTE DE PODER N/S; GEP872104</t>
  </si>
  <si>
    <t>FUENTE DE PODER N/S; GEP864256</t>
  </si>
  <si>
    <t>FUENTE DE PODER N/S; GEP864237</t>
  </si>
  <si>
    <t>FUENTE DE PODER N/S; GEP0917474</t>
  </si>
  <si>
    <t>FUSIONADORA FPRO100 MARCA:KOMSHINE MODELO: FX37</t>
  </si>
  <si>
    <t>OSCILOSCOPIO DE 30 MHZ MARCA OWON, MODELO: SDS5032E, S/N SDS50322E14149612, GARANTIA DE 3 A­OS.</t>
  </si>
  <si>
    <t>OSCILOSCOPIO DE 30 MHZ MARCA OWON, MODELO: SDS5032E, S/N SDS50322E13449670, GARANTIA DE 3 A­OS.</t>
  </si>
  <si>
    <t>OSCILOSCOPIO DIGITAL OWON; MODELO: SDS5032E; S/N SDS5032EV1541645</t>
  </si>
  <si>
    <t>OSCILOSCOPIO DIGITAL OWON; MODELO: SDS5032E; S/N SDS5032EV1541639</t>
  </si>
  <si>
    <t>OSCILOSCOPIO DIGITAL OWON; MODELO: SDS5032E; S/N SDS5032EV1541610.</t>
  </si>
  <si>
    <t>OSCILOSCOPIO DIGITAL OWON; MODELO: SDS5032E; S/N SDS5032EV1541482</t>
  </si>
  <si>
    <t>OSCILOSCOPIO DIGITAL OWON; MODELO: SDS5032E; S/N SDS5032EV1541459.</t>
  </si>
  <si>
    <t>OSCILOSCOPIO DIGITAL OWON; MODELO: SDS5032E; S/N SDS5032EV1541448</t>
  </si>
  <si>
    <t>MAGUER RESISITENCIA PARA AISLACION MODELO 4102A</t>
  </si>
  <si>
    <t>MAGUER RESISITENCIA PARA AISLACION MODELO 3005A</t>
  </si>
  <si>
    <t>IMPRESORA 3D MARCA CREALITY MODELO FDM ENDER 3S1 SERIE 50001195933423EAPO DIMENSION 220X220X270 MM</t>
  </si>
  <si>
    <t>IMPRESORA 3D MARCA CREALITY MODELO FDM ENDER 3S1 SERIE 500001195933423ERRL DIMENSION 220X220X270 MM</t>
  </si>
  <si>
    <t>IMPRESORA 3D MARCA CREALITY MODELO FDM ENDER 5S1 SERIE 100004818033223EXJG DIMENSION 425*460*570MM PESO 12KG</t>
  </si>
  <si>
    <t>IMPRESORA 3D MARCA CREALITY ENDER 3 PRO TECMOLOGIA FDM DIMENSIONES 440*410*465 MM</t>
  </si>
  <si>
    <t>EQUIPO DE PROYECCION DATA DISPLAY MARCA CASIO MOD XJ-F20XN S/N:A995BBBY69-067509 CON TECNOLOGIA LASER LED CON CHIP DE 0,55" DLP DE 1,024X768 PIXELES</t>
  </si>
  <si>
    <t>OSCILOSCOPIO DIGITAL OWON; MODELO: SDS5032E; S/N SDS5032EV1541656</t>
  </si>
  <si>
    <t>OSCILOSCOPIO DIGITAL OWON; MODELO: SDS5032E; S/N SDS5032EV1541609</t>
  </si>
  <si>
    <t xml:space="preserve">Encargado de Laboratorio de Automatización </t>
  </si>
  <si>
    <t>COMPUTADORAS PORTATILES TOSHIBA SATELITE CORE I5 WINDOWS. NUMERO DE SERIES: 8)7E074835S.</t>
  </si>
  <si>
    <t>COMPUTADORAS PORTATILES TOSHIBA SATELITE CORE I5 WINDOWS. NUMERO DE SERIES: 7)7E071214S.</t>
  </si>
  <si>
    <t>COMPUTADORAS PORTATILES TOSHIBA SATELITE CORE I5 WINDOWS. NUMERO DE SERIES: 6)7E071147S.</t>
  </si>
  <si>
    <t>COMPUTADORAS PORTATILES TOSHIBA SATELITE CORE I5 WINDOWS. NUMERO DE SERIES: 5)7E071077S.</t>
  </si>
  <si>
    <t>KIT CONTROL LOGICO PROGRAMABLE</t>
  </si>
  <si>
    <t>KIT PANEL DIDACTICO DE CONVERTIDORES DE FRECUENCIA</t>
  </si>
  <si>
    <t>KIT DIDACTIO DE CONTRL Y REGULACION DE MOTORES</t>
  </si>
  <si>
    <t>KIT DE SIMULACION DE LABORATORIOS ATOMATIZACION Y ROBOTICA INDUSTRIAL CON VISOR DE REALIDAD VIRTUAL MARCA OCULUS MODELO OCULUS QUEST2 S/1WMVR419MW2027</t>
  </si>
  <si>
    <t>MOTOR ELECTRICO (1 HP, MINIMO)MOD. 561091 MARCA WEG COD. H</t>
  </si>
  <si>
    <t>MOTOR ELECTRICO (1 HP, MINIMO) MOD 560994 MARCA WEG COD. L</t>
  </si>
  <si>
    <t>EQUIPO DE AIRE ACONDICIONADO TIPO DE 60000 BTU INVERTER MARCA COMFEE EVAPORADOR S/N: 2404216860179080160004 CONDENSADOR S/N: 2404216860279070160037</t>
  </si>
  <si>
    <t>EQUIPO DE PROYECCION DATA DISPLAY MARCA CASIO MOD XJ-F20XN S/N:A995BBBY74-086556 CON TECNOLOGIA LASER LED CON CHIP DE 0,55" DLP DE 1,024X768 PIXELES</t>
  </si>
  <si>
    <t>Encargado de Laboratorio de Neumatica</t>
  </si>
  <si>
    <t>KIT DIDACTICO DE AUTOMATIZACION DE NEUMATICOELECTRONE-UMATICA</t>
  </si>
  <si>
    <t>KIT DIDACTICO DE AUTOMATIZACION CON 3 PIEZAS MARCA DOBOT, KIT DE VISION ARTIFICIAL, CONEXION DIDACTICA UNIVERSALINTERFAZ DE EXTENCION Y CONTROL</t>
  </si>
  <si>
    <t>COMPRESORA CON SILENCIADOR DE 2 HP N¬ DE PARTE RRR55237 SERIE: FTT56732</t>
  </si>
  <si>
    <t>EQUIPO DE PROYECCION DATA DISPLAY MARCA CASIO MOD XJ-F20XN S/N:A995BBBY69-061431 CON TECNOLOGIA LASER LED CON CHIP DE 0,55" DLP DE 1,024X768 PIXELES</t>
  </si>
  <si>
    <t>Encargado de Laboratorio de Sistemas de Simulacion</t>
  </si>
  <si>
    <t>DRON AGRICOLA MARCA SENSEFLY MODELO EBEE X S/N 15877A05100036Q4 PROCEDENCIA SUIZA</t>
  </si>
  <si>
    <t>DRON DE FUMIGACION MARCA BROUAV MODELO U30L-6 S/N BY221123080037 PROCEDENCIA CHINA</t>
  </si>
  <si>
    <t>DRON UAV DE MAPEO MARCA DELTA QUAD MODELO PRO MAP S/N DQL2310020555 PROCEDENCIA PAISES BAJOS</t>
  </si>
  <si>
    <t>PROVISION DE CISCO RV 160W WIRELES-AC VPN ROUTER CISCO INALAMBRICO AC CONMUTADOR DE 4 PUERTOS 2X2 802.11 AC INALAMBRICO</t>
  </si>
  <si>
    <t>KIT DE ENTRENADORES DE MICROCONTROLADORES DE ARDUINO</t>
  </si>
  <si>
    <t>GAFAS DE REALIDAD VIRTUAL MARCA OCULUS MODELO OCULUS QUEST 2 OPTIMIZADAS PARA SOFTWARES DE MECATRONICA CIROS RESOLUCION 2560X1440 PIXELES PANTALLA LCD</t>
  </si>
  <si>
    <t>SWITCH SMART PLUS DE 48 PUERTOS 10/100/000 DNI25470030</t>
  </si>
  <si>
    <t>SWITCH SMART PLUS DE 48 PUERTOS 10/100/000 DNI254700G8ALTO NIVEL DE SEGURIDAD E INTELIGENCIA ADMINISTRACION S</t>
  </si>
  <si>
    <t>SWITCH SMART PLUS DE 48 PUERTOS 10/100/000 DNI254700BFALTO NIVEL DE SEGURIDAD E INTELIGENCIA ADMINISTRACION S</t>
  </si>
  <si>
    <t>SWITCH SMART PLUS DE 48 PUERTOS 10/100/000 S/N DNI25470020</t>
  </si>
  <si>
    <t>CISCO SG35-28 28-PORT GIGABIT MANAGED SWITCH DE 24 PUERTOS DE 10/100/100 GIGABIT ETHERNET 2 PUERTOS SFP CON IU WEB CLIC SMART NETWORK APLICATION</t>
  </si>
  <si>
    <t>MONITOR PANORAMICO LED 21.5 MARCA SAMSUNG; MODELO: S22D300NY SERIE: 02FPHCLF900609D</t>
  </si>
  <si>
    <t>MONITOR MARCA DELL MODELO E2216H, SERIE: JXG3JP2 LED DE 21,5 PULGADAS, RETROILUMINACION WLED, CONECTIVIDAD DP VGA</t>
  </si>
  <si>
    <t>IMPRESORA 3D, MARCA MAKERBOT, MODELO REPLICATOR 2X, FABRICACION CON FILAMENTO FUNDIDO, VOLUMEN DE IMPRESION 24.6 X 15.2 X 15.5 CM, DUAL ESTRUDERS.</t>
  </si>
  <si>
    <t>RACK DE 42 U DE 2 ARCOS "19"CON 4 RUEDAS CON BANDEJAS VOLADIZAS TAMA­O:59.5CM ANCHO/42.5 CM PROF./2M DE ALTO PDU DE 8 TOMAS ELECTRICOS.</t>
  </si>
  <si>
    <t>PROVISION DE RACK 42U* 2ARCOS* 19" *4RUEDAS SOPORTE MAS DE 150 KG DIMENSIONES 59,5CM DE 42,5CM DE NO CON BANDEJA COMPATIBLE CON BANDEJAS SHELF-606</t>
  </si>
  <si>
    <t>PROVISION DE RACK 42U* 2ARCOS* 19" *4RUEDAS DE 150 KG DIMENSIONES 59,5CM DE 42,5CM DE NO CON BANDEJA COMPATIBLE CON BANDEJAS SHELF-606 SHELF-1U-PDU</t>
  </si>
  <si>
    <t>PROVISION DE RACK 42U* 2ARCOS* 19" *4RUEDAS SOPORTE DE 150 KG DIMENSIONES 59,5CM DE 42,5CM CON BANDEJA COMPATIBLE CON BANDEJAS SHELF-606 SHELF-1U-PDU</t>
  </si>
  <si>
    <t>CPU SURE CORE 2 DUO (MEINBOAR INTEL DG 31PR: N BTPR80600LH3,PROC. 2.4 GHZ.N. LA0203, DD 160 GB: N 6RAA9YXN, CD-RW</t>
  </si>
  <si>
    <t>CPU SURE CORE 2 DUO (MEINBOAR INTEL DG 31PR: N BTPR8050041M,PROC. 2.4 GHZ.N. 6A0313, DD 160 GB: N 6RAA3FJR, CD-RW,</t>
  </si>
  <si>
    <t>CPU SURE CORE 2 DUO (MEINBOAR INTEL DG 31PR: N BTPR805003HZ,PROC. 2.4 GHZ.N. 6A1104, DD 160 GB: N 6RAABSFV, CD-RW</t>
  </si>
  <si>
    <t>CPU DELUX MODELO DLC-MF483: TARJETA MADRE ASUS B-85 CORE I7; DISCO DURO DE 1 TB SATA; RAM 8 GB, TARJETA DE SONIDO INTEGRADA.</t>
  </si>
  <si>
    <t>CPU PROCESARDOR CORE I7 DECIMA GENERACION RAM DE 16GB TARJETA DE GRAFICO GTX 1660 RAM 16 GB</t>
  </si>
  <si>
    <t>EQUIPO DE PROYECCION DATA DISPLAY MARCA CASIO MOD XJ-F20XN S/N:A995BBBY6A-067405 CON TECNOLOGIA LASER LED CON CHIP DE 0,55" DLP DE 1,024X768 PIXELES</t>
  </si>
  <si>
    <t>CPU SURE CORE 2 DUO (Meinboar INTEL DG 31PR: N  BTPR805006BX,Proc. 2.4 Ghz.N. 6A0555, DD 160 GB: N 6RAAAH41, CD-RW, Teclado, Mause,Corta pico)</t>
  </si>
  <si>
    <t>CPU PARA PRACTICAS DE ESTUDIANTES</t>
  </si>
  <si>
    <t>Labortorio de Química</t>
  </si>
  <si>
    <t>Laboratorio de Civil</t>
  </si>
  <si>
    <t>Laboratorio de Electronica</t>
  </si>
  <si>
    <t>Laboratorio de Automatización</t>
  </si>
  <si>
    <t>Laboratorio de Neumática</t>
  </si>
  <si>
    <t>Laboratorio de sistemas de Simulacion</t>
  </si>
  <si>
    <t>4-011340</t>
  </si>
  <si>
    <t>4-11514</t>
  </si>
  <si>
    <t>ESTUFA DE SECADO DE 200 LITROS MARCA MATEST MODELO A008-03 KIT NUMERO DE SERIE A008-03/BC/0003 PROCEDENCIA ITALIA</t>
  </si>
  <si>
    <t>ESTUFA DE PELICULA FINA Y ROTATORIA DE ALTO RENDIMIENTO MARCA MATEST MODELO B066M KIT PROCEDENCIA ITALIA SERIE B066M/BC/0017</t>
  </si>
  <si>
    <t>Regular</t>
  </si>
  <si>
    <t>Encargada de laboratorio de indusrial y Alimentos</t>
  </si>
  <si>
    <t>Laboratorio de Industrial</t>
  </si>
  <si>
    <t>Encargada de Laboratorio de Agronomia</t>
  </si>
  <si>
    <t>Laboratorio de Agronomia</t>
  </si>
  <si>
    <t xml:space="preserve">Encargado de Laboratorio de Mecanica y Termodinamica </t>
  </si>
  <si>
    <t>Laboratorio de Mecanica y Termodinamica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</si>
</sst>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48884b2289dcfe8/Escritorio/ACTIVOS_FIJOS/EQUIPOS%20LABORATORIOS/UASC/ASIGNACION%20DEL%20LAB%20FISICA-QUIMIC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48884b2289dcfe8/Escritorio/ACTIVOS_FIJOS/EQUIPOS%20LABORATORIOS/UASC/ASIGNACION%20DEL%20LAB.%20CIVIL-ELE-AUT-SIST%20Y%20NE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48884b2289dcfe8/Escritorio/ACTIVOS_FIJOS/EQUIPOS%20LABORATORIOS/UASC/ASIGNACION%20LAB%20INDUSTRIAL%20Y%20ALIMENTO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48884b2289dcfe8/Escritorio/ACTIVOS_FIJOS/EQUIPOS%20LABORATORIOS/UASC/Reporte%20de%20Activos%20LAB%20DE%20AGRONOMI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48884b2289dcfe8/Escritorio/ACTIVOS_FIJOS/EQUIPOS%20LABORATORIOS/UASC/Reporte%20de%20Activos%20LAB.%20MECANICA-TERMODINAM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C2" t="str">
            <v>4-00469</v>
          </cell>
          <cell r="D2" t="str">
            <v>COMP_PORTATIL MARCA HP NUMERO EQUIPO CNU1522R6H NUM. BATERIA 6BSLHO7BB1L2HS NUM. ADAPTADOR F12921151072921 MALETIN MOUSE AUDIFONOS MOUSEPAD</v>
          </cell>
          <cell r="F2" t="str">
            <v>Regular</v>
          </cell>
        </row>
        <row r="3">
          <cell r="C3">
            <v>5206</v>
          </cell>
          <cell r="D3" t="str">
            <v>MARCOS CON PUERTA PARA MESON EMPOTRADOS BANIZADOS COLOR NATURAL Y CHAPAS</v>
          </cell>
          <cell r="F3" t="str">
            <v>Regular</v>
          </cell>
        </row>
        <row r="4">
          <cell r="C4" t="str">
            <v>4-11641</v>
          </cell>
          <cell r="D4" t="str">
            <v>MESA AGITADORA ORBITAL MARCA DLAB MODELO SK-O330-PRO NUMERO DE SERIE SC239AR0000157 PROCEDENCIA CHINA</v>
          </cell>
          <cell r="F4" t="str">
            <v>Regular</v>
          </cell>
        </row>
        <row r="5">
          <cell r="C5" t="str">
            <v>4-05734</v>
          </cell>
          <cell r="D5" t="str">
            <v>UN KIT ESTANDAR QUIMICA CON COMPUTADORES MARCA VERNIER MODELO LABQUEST2. SN¬ 13030433 COLOR NEGRO, CARGADOR Y CABLE USB.</v>
          </cell>
          <cell r="F5" t="str">
            <v>Malo</v>
          </cell>
        </row>
        <row r="6">
          <cell r="C6" t="str">
            <v>4-05733</v>
          </cell>
          <cell r="D6" t="str">
            <v>UN KIT ESTANDAR QUIMICA CON COMPUTADORES MARCA VERNIER MODELO LABQUEST2. SN¬ 13029209 COLOR NEGRO, CARGADOR Y CABLE USB.</v>
          </cell>
          <cell r="F6" t="str">
            <v>Malo</v>
          </cell>
        </row>
        <row r="7">
          <cell r="C7" t="str">
            <v>4-05735</v>
          </cell>
          <cell r="D7" t="str">
            <v>UN KIT ESTANDAR QUIMICA CON COMPUTADORES MARCA VERNIER MODELO LABQUEST2. SN¬ 13028742 COLOR NEGRO, CARGADOR Y CABLE USB.</v>
          </cell>
          <cell r="F7" t="str">
            <v>Malo</v>
          </cell>
        </row>
        <row r="8">
          <cell r="C8" t="str">
            <v>4-05732</v>
          </cell>
          <cell r="D8" t="str">
            <v>UN KIT ESTANDAR QUIMICA CON COMPUTADORES MARCA VERNIER MODELO LABQUEST2. SN¬ 13027619 COLOR NEGRO, CARGADOR Y CABLE USB.</v>
          </cell>
          <cell r="F8" t="str">
            <v>Malo</v>
          </cell>
        </row>
        <row r="9">
          <cell r="C9" t="str">
            <v>4-05998</v>
          </cell>
          <cell r="D9" t="str">
            <v>BANCO PARA CINEMATICA</v>
          </cell>
          <cell r="F9" t="str">
            <v>Malo</v>
          </cell>
        </row>
        <row r="10">
          <cell r="C10" t="str">
            <v>4-05993</v>
          </cell>
          <cell r="D10" t="str">
            <v>BANCO DE MEDICIONES BASICAS Y ESTATICA EL EQUIPO SE ENCUENTRA EN UN MUEBLE MELAMINICO COLOR CREMA CON CAJONES</v>
          </cell>
          <cell r="F10" t="str">
            <v>Malo</v>
          </cell>
        </row>
        <row r="11">
          <cell r="C11" t="str">
            <v>4-05995</v>
          </cell>
          <cell r="D11" t="str">
            <v>BANCO DE MEDICIONES BASICAS Y ESTATICA EL EQUIPO SE ENCUENTRA EN UN MUEBLE MELAMINICO COLOR CREMA CON CAJONES</v>
          </cell>
          <cell r="F11" t="str">
            <v>Malo</v>
          </cell>
        </row>
        <row r="12">
          <cell r="C12" t="str">
            <v>4-05994</v>
          </cell>
          <cell r="D12" t="str">
            <v>BANCO DE MEDICIONES BASICAS Y ESTATICA EL EQUIPO SE ENCUENTRA EN UN MUEBLE MELAMINICO COLOR CREMA CON CAJONES</v>
          </cell>
          <cell r="F12" t="str">
            <v>Malo</v>
          </cell>
        </row>
        <row r="13">
          <cell r="C13" t="str">
            <v>4-05992</v>
          </cell>
          <cell r="D13" t="str">
            <v>BANCO DE MEDICIONES BASICAS Y ESTATICA EL EQUIPO SE ENCUENTRA EN UN MUEBLE MELAMINICO COLOR CREMA CON CAJONES</v>
          </cell>
          <cell r="F13" t="str">
            <v>Malo</v>
          </cell>
        </row>
        <row r="14">
          <cell r="C14" t="str">
            <v>4-05997</v>
          </cell>
          <cell r="D14" t="str">
            <v>BANCO PARA TERMODINAMICA EL EQUIPO SE ENCUENTRA EN UN MUEBLE MELAMINICO COLOR CREMA CON CAJONES</v>
          </cell>
          <cell r="F14" t="str">
            <v>Malo</v>
          </cell>
        </row>
        <row r="15">
          <cell r="C15" t="str">
            <v>4-05996</v>
          </cell>
          <cell r="D15" t="str">
            <v>BANCO PARA TERMODINAMICA EL EQUIPO SE ENCUENTRA EN UN MUEBLE MELAMINICO COLOR CREMA CON CAJONES</v>
          </cell>
          <cell r="F15" t="str">
            <v>Malo</v>
          </cell>
        </row>
        <row r="16">
          <cell r="C16" t="str">
            <v>4-05988</v>
          </cell>
          <cell r="D16" t="str">
            <v>BANCO DE DINAMICA Y LEYES DE CONSERVACION TODO EL EQUIPO SE ENCUENTRA EN UN MUEBLE DE MELAMINICO COLOR CREMA.</v>
          </cell>
          <cell r="F16" t="str">
            <v>Malo</v>
          </cell>
        </row>
        <row r="17">
          <cell r="C17" t="str">
            <v>4-05991</v>
          </cell>
          <cell r="D17" t="str">
            <v>BANCO DE DINAMICA Y LEYES DE CONSERVACION TODO EL EQUIPO SE ENCUENTRA EN UN MUEBLE DE MELAMINICO COLOR CREMA CON 3 CAJONES Y UNA</v>
          </cell>
          <cell r="F17" t="str">
            <v>Malo</v>
          </cell>
        </row>
        <row r="18">
          <cell r="C18" t="str">
            <v>4-05990</v>
          </cell>
          <cell r="D18" t="str">
            <v>BANCO DE DINAMICA Y LEYES DE CONSERVACION TODO EL EQUIPO SE ENCUENTRA EN UN MUEBLE DE MELAMINICO COLOR CREMA CON 3 CAJONES Y UNA</v>
          </cell>
          <cell r="F18" t="str">
            <v>Malo</v>
          </cell>
        </row>
        <row r="19">
          <cell r="C19" t="str">
            <v>4-05989</v>
          </cell>
          <cell r="D19" t="str">
            <v>BANCO DE DINAMICA Y LEYES DE CONSERVACION TODO EL EQUIPO SE ENCUENTRA EN UN MUEBLE DE MELAMINICO COLOR CREMA</v>
          </cell>
          <cell r="F19" t="str">
            <v>Malo</v>
          </cell>
        </row>
        <row r="20">
          <cell r="C20" t="str">
            <v>4-05750</v>
          </cell>
          <cell r="D20" t="str">
            <v>CAMPANA DE EXTRACCION DE GASES S/N 15100487 MODELO Q216-22 MARCA QUIMIS. ACCESORIOS 1 MANUAL DE USUARIO CD 1 MOTOR EXTRACTOR S/N 1132586</v>
          </cell>
          <cell r="F20" t="str">
            <v>Regular</v>
          </cell>
        </row>
        <row r="21">
          <cell r="C21" t="str">
            <v>4-05755</v>
          </cell>
          <cell r="D21" t="str">
            <v>CAMPANA DE EXTRACCION DE GASES S/N 15100487 MODELO Q216-22 MARCA QUIMIS. ACCESORIOS 1 MANUAL DE USUARIO CD 1 MOTOR EXTRACTOR S/N 1132586</v>
          </cell>
          <cell r="F21" t="str">
            <v>Regular</v>
          </cell>
        </row>
        <row r="22">
          <cell r="C22" t="str">
            <v>4-05741</v>
          </cell>
          <cell r="D22" t="str">
            <v>POLARIMETRO (DECODIFICADOR OPTICO Y FUENTE DE LUZ LED) MARCA VERNIER, MODELO POLARIMETER. COLOR NEGRO CON PLOMO COMBINADO, CON CARGADOR</v>
          </cell>
          <cell r="F22" t="str">
            <v>Regular</v>
          </cell>
        </row>
        <row r="23">
          <cell r="C23" t="str">
            <v>4-05740</v>
          </cell>
          <cell r="D23" t="str">
            <v>POLARIMETRO (DECODIFICADOR OPTICO Y FUENTE DE LUZ LED) MARCA VERNIER, MODELO POLARIMETER. COLOR NEGRO CON PLOMO COMBINADO, CON CARGADOR</v>
          </cell>
          <cell r="F23" t="str">
            <v>Regular</v>
          </cell>
        </row>
        <row r="24">
          <cell r="C24" t="str">
            <v>4-05739</v>
          </cell>
          <cell r="D24" t="str">
            <v>POLARIMETRO (DECODIFICADOR OPTICO Y FUENTE DE LUZ LED) MARCA VERNIER, MODELO POLARIMETER. COLOR NEGRO CON PLOMO COMBINADO, CON CARGADOR</v>
          </cell>
          <cell r="F24" t="str">
            <v>Regular</v>
          </cell>
        </row>
        <row r="25">
          <cell r="C25" t="str">
            <v>4-05687</v>
          </cell>
          <cell r="D25" t="str">
            <v>AGITADOR MAGNETICO (50-1250 RPM Y 800ML.) COLOR NEGRO CON CARGADOR.</v>
          </cell>
          <cell r="F25" t="str">
            <v>Regular</v>
          </cell>
        </row>
        <row r="26">
          <cell r="C26" t="str">
            <v>4-05692</v>
          </cell>
          <cell r="D26" t="str">
            <v>AGITADOR MAGNETICO (50-1250 RPM Y 800ML.) COLOR NEGRO CON CARGADOR.</v>
          </cell>
          <cell r="F26" t="str">
            <v>Regular</v>
          </cell>
        </row>
        <row r="27">
          <cell r="C27" t="str">
            <v>4-05691</v>
          </cell>
          <cell r="D27" t="str">
            <v>AGITADOR MAGNETICO (50-1250 RPM Y 800ML.) COLOR NEGRO CON CARGADOR.</v>
          </cell>
          <cell r="F27" t="str">
            <v>Regular</v>
          </cell>
        </row>
        <row r="28">
          <cell r="C28" t="str">
            <v>4-05690</v>
          </cell>
          <cell r="D28" t="str">
            <v>AGITADOR MAGNETICO (50-1250 RPM Y 800ML.) COLOR NEGRO CON CARGADOR.</v>
          </cell>
          <cell r="F28" t="str">
            <v>Regular</v>
          </cell>
        </row>
        <row r="29">
          <cell r="C29" t="str">
            <v>4-05689</v>
          </cell>
          <cell r="D29" t="str">
            <v>AGITADOR MAGNETICO (50-1250 RPM Y 800ML.) COLOR NEGRO CON CARGADOR.</v>
          </cell>
          <cell r="F29" t="str">
            <v>Regular</v>
          </cell>
        </row>
        <row r="30">
          <cell r="C30" t="str">
            <v>4-05688</v>
          </cell>
          <cell r="D30" t="str">
            <v>AGITADOR MAGNETICO (50-1250 RPM Y 800ML.) COLOR NEGRO CON CARGADOR.</v>
          </cell>
          <cell r="F30" t="str">
            <v>Regular</v>
          </cell>
        </row>
        <row r="31">
          <cell r="C31" t="str">
            <v>4-11647</v>
          </cell>
          <cell r="D31" t="str">
            <v>AGITADOR-VORTEX MARCA DLAB MODELO MX-S NUMERO DE SERIE VB232AS0008519 PROCEDENCIA CHINA</v>
          </cell>
          <cell r="F31" t="str">
            <v>Regular</v>
          </cell>
        </row>
        <row r="32">
          <cell r="C32" t="str">
            <v>4-011409</v>
          </cell>
          <cell r="D32" t="str">
            <v>AGITADOR MAGNETICO CON CALEFACCION MARCA DE DALB MODELO MS7-H55-PRO PROCEDENCIA CHINA SERIE MN232BC0002429</v>
          </cell>
          <cell r="F32" t="str">
            <v>Regular</v>
          </cell>
        </row>
        <row r="33">
          <cell r="C33" t="str">
            <v>4-011381</v>
          </cell>
          <cell r="D33" t="str">
            <v>AGITADOR MAGNETICO CON CALEFACCION MARCA DLAB MODELO MS7-H550-PRO PROCEDENCIA CHINA SERIE MN232BC002427</v>
          </cell>
          <cell r="F33" t="str">
            <v>Regular</v>
          </cell>
        </row>
        <row r="34">
          <cell r="C34" t="str">
            <v>4-011380</v>
          </cell>
          <cell r="D34" t="str">
            <v>AGITADOR MAGNETICO CON CALEFACCION MARCA DLAB MODELO MS7-H550-PRO PROCEDENCIA CHINA SERIE MN232BC002423</v>
          </cell>
          <cell r="F34" t="str">
            <v>Regular</v>
          </cell>
        </row>
        <row r="35">
          <cell r="C35" t="str">
            <v>4-011408</v>
          </cell>
          <cell r="D35" t="str">
            <v>AGITADOR MAGNETICO CON CALEFACCION MARCA DE DALB MODELO MS7-H55-PRO PROCEDENCIA CHINA SERIE MN232BC0002417</v>
          </cell>
          <cell r="F35" t="str">
            <v>Regular</v>
          </cell>
        </row>
        <row r="36">
          <cell r="C36" t="str">
            <v>4-011379</v>
          </cell>
          <cell r="D36" t="str">
            <v>AGITADOR MAGNETICO CON CALEFACCION MARCA DLAB MODELO MS7-H550-PRO PROCEDENCIA CHINA SERIE MN232BC002418</v>
          </cell>
          <cell r="F36" t="str">
            <v>Regular</v>
          </cell>
        </row>
        <row r="37">
          <cell r="C37" t="str">
            <v>4-05748</v>
          </cell>
          <cell r="D37" t="str">
            <v>HORNO DE ESTERILIZACION REG.SINGLE DISPLAY PANTALLA TACTIL CAPACIDAD 53 LITROS MARCA-MEMMERT MODELO-UN55 N¬DE SERIE B214.1365 GARANTIA DE 24 MESES.</v>
          </cell>
          <cell r="F37" t="str">
            <v>Regular</v>
          </cell>
        </row>
        <row r="38">
          <cell r="C38" t="str">
            <v>4-011401</v>
          </cell>
          <cell r="D38" t="str">
            <v>TERMOMETRO DE PENETRACION MARCA TROTEC MODELO BT20 PROCEDENCIA ALEMANIA SERIE AGB22A3513</v>
          </cell>
          <cell r="F38" t="str">
            <v>Regular</v>
          </cell>
        </row>
        <row r="39">
          <cell r="C39" t="str">
            <v>4-05726</v>
          </cell>
          <cell r="D39" t="str">
            <v>CROMOTOGRAFO DE GASES (COLUMNA INTERNA DE 11M) MARCA VERNIER - MINI GC PLUS. COLOR NEGRO, ALIMENTADOR DE ENERGIA, CABLE USB, SN¬ 2780</v>
          </cell>
          <cell r="F39" t="str">
            <v>Regular</v>
          </cell>
        </row>
        <row r="40">
          <cell r="C40" t="str">
            <v>4-05727</v>
          </cell>
          <cell r="D40" t="str">
            <v>CROMOTOGRAFO DE GASES (COLUMNA INTERNA DE 11M) MARCA VERNIER - MINI GC PLUS. COLOR NEGRO, ALIMENTADOR DE ENERGIA, CABLE USB, SN¬ 2739</v>
          </cell>
          <cell r="F40" t="str">
            <v>Regular</v>
          </cell>
        </row>
        <row r="41">
          <cell r="C41">
            <v>4021</v>
          </cell>
          <cell r="D41" t="str">
            <v>MICROPIPETA (MARCA CAPP, S/N AG 0721)</v>
          </cell>
          <cell r="F41" t="str">
            <v>Malo</v>
          </cell>
        </row>
        <row r="42">
          <cell r="C42">
            <v>4020</v>
          </cell>
          <cell r="D42" t="str">
            <v>MICROPIPETA (MARCA CAPP, S/N AG 0719)</v>
          </cell>
          <cell r="F42" t="str">
            <v>Malo</v>
          </cell>
        </row>
        <row r="43">
          <cell r="C43">
            <v>4025</v>
          </cell>
          <cell r="D43" t="str">
            <v>MICROPIPETA (MARCA CAPP, S/N AG 5474)</v>
          </cell>
          <cell r="F43" t="str">
            <v>Malo</v>
          </cell>
        </row>
        <row r="44">
          <cell r="C44">
            <v>4024</v>
          </cell>
          <cell r="D44" t="str">
            <v>MICROPIPETA (MARCA CAPP, S/N AG 5473)</v>
          </cell>
          <cell r="F44" t="str">
            <v>Malo</v>
          </cell>
        </row>
        <row r="45">
          <cell r="C45">
            <v>4023</v>
          </cell>
          <cell r="D45" t="str">
            <v>MICROPIPETA (MARCA CAPP, S/N AG 0723)</v>
          </cell>
          <cell r="F45" t="str">
            <v>Malo</v>
          </cell>
        </row>
        <row r="46">
          <cell r="C46">
            <v>4022</v>
          </cell>
          <cell r="D46" t="str">
            <v>MICROPIPETA (MARCA CAPP, S/N AG 0722)</v>
          </cell>
          <cell r="F46" t="str">
            <v>Malo</v>
          </cell>
        </row>
        <row r="47">
          <cell r="C47">
            <v>4019</v>
          </cell>
          <cell r="D47" t="str">
            <v>MICROPIPETA (MARCA CAPP, S/N AG 0718)</v>
          </cell>
          <cell r="F47" t="str">
            <v>Malo</v>
          </cell>
        </row>
        <row r="48">
          <cell r="C48">
            <v>4018</v>
          </cell>
          <cell r="D48" t="str">
            <v>MICROPIPETA (MARCA CAPP, S/N AG 0717)</v>
          </cell>
          <cell r="F48" t="str">
            <v>Malo</v>
          </cell>
        </row>
        <row r="49">
          <cell r="C49">
            <v>4017</v>
          </cell>
          <cell r="D49" t="str">
            <v>MICROPIPETA (MARCA CAPP, S/N AG 0716)</v>
          </cell>
          <cell r="F49" t="str">
            <v>Malo</v>
          </cell>
        </row>
        <row r="50">
          <cell r="C50">
            <v>4016</v>
          </cell>
          <cell r="D50" t="str">
            <v>MICROPIPETA (MARCA CAPP, S/N AG 0715)</v>
          </cell>
          <cell r="F50" t="str">
            <v>Regular</v>
          </cell>
        </row>
        <row r="51">
          <cell r="C51" t="str">
            <v>4-05742</v>
          </cell>
          <cell r="D51" t="str">
            <v>BA­O MARIA (DIGITAL, CAPACIDAD DE 3ML.) MARCA NAHITA, MODELO 636 PLUS. COLOR BLANCO SN¬ C72821.</v>
          </cell>
          <cell r="F51" t="str">
            <v>Malo</v>
          </cell>
        </row>
        <row r="52">
          <cell r="C52" t="str">
            <v>4-05743</v>
          </cell>
          <cell r="D52" t="str">
            <v>BA­O MARIA (DIGITAL, CAPACIDAD DE 3ML.) MARCA NAHITA, MODELO 636 PLUS. COLOR BLANCO SN¬ C72813</v>
          </cell>
          <cell r="F52" t="str">
            <v>Malo</v>
          </cell>
        </row>
        <row r="53">
          <cell r="C53" t="str">
            <v>4-05716</v>
          </cell>
          <cell r="D53" t="str">
            <v>BALANZA DE PRECISION (600X0.01G) COLOR NEGRO CON CARGADOR</v>
          </cell>
          <cell r="F53" t="str">
            <v>Regular</v>
          </cell>
        </row>
        <row r="54">
          <cell r="C54" t="str">
            <v>4-05715</v>
          </cell>
          <cell r="D54" t="str">
            <v>BALANZA DE PRECISION (600X0.01G) COLOR NEGRO CON CARGADOR</v>
          </cell>
          <cell r="F54" t="str">
            <v>Regular</v>
          </cell>
        </row>
        <row r="55">
          <cell r="C55" t="str">
            <v>4-05714</v>
          </cell>
          <cell r="D55" t="str">
            <v>BALANZA DE PRECISION (600X0.01G) COLOR NEGRO CON CARGADOR</v>
          </cell>
          <cell r="F55" t="str">
            <v>Malo</v>
          </cell>
        </row>
        <row r="56">
          <cell r="C56" t="str">
            <v>4-05713</v>
          </cell>
          <cell r="D56" t="str">
            <v>BALANZA DE PRECISION (600X0.01G) COLOR NEGRO CON CARGADOR</v>
          </cell>
          <cell r="F56" t="str">
            <v>Malo</v>
          </cell>
        </row>
        <row r="57">
          <cell r="C57" t="str">
            <v>4-05712</v>
          </cell>
          <cell r="D57" t="str">
            <v>BALANZA DE PRECISION (600X0.01G) COLOR NEGRO CON CARGADOR</v>
          </cell>
          <cell r="F57" t="str">
            <v>Malo</v>
          </cell>
        </row>
        <row r="58">
          <cell r="C58" t="str">
            <v>4-05711</v>
          </cell>
          <cell r="D58" t="str">
            <v>BALANZA DE PRECISION (600X0.01G) COLOR NEGRO CON CARGADOR</v>
          </cell>
          <cell r="F58" t="str">
            <v>Malo</v>
          </cell>
        </row>
        <row r="59">
          <cell r="C59" t="str">
            <v>4-05693</v>
          </cell>
          <cell r="D59" t="str">
            <v>BALANZA DE PRECISION (4500X0.01G) MARCA ADAM, MODELO PGW 4502I COLOR BLANCO CON CARGADOR SN + AE446L506.</v>
          </cell>
          <cell r="F59" t="str">
            <v>Regular</v>
          </cell>
        </row>
        <row r="60">
          <cell r="C60" t="str">
            <v>4-05694</v>
          </cell>
          <cell r="D60" t="str">
            <v>BALANZA DE PRECISION (4500X0.01G) MARCA ADAM, MODELO PGW 4502I COLOR BLANCO CON CARGADOR SN + AE446L488.</v>
          </cell>
          <cell r="F60" t="str">
            <v>Regular</v>
          </cell>
        </row>
        <row r="61">
          <cell r="C61" t="str">
            <v>4-05698</v>
          </cell>
          <cell r="D61" t="str">
            <v>BALANZA ANALITICA (600X0.001G) MARCA ADAM, MODELO PGW 603I COLOR BLANCO CON CARGADOR SN ¬ AE923L64</v>
          </cell>
          <cell r="F61" t="str">
            <v>Regular</v>
          </cell>
        </row>
        <row r="62">
          <cell r="C62" t="str">
            <v>4-05696</v>
          </cell>
          <cell r="D62" t="str">
            <v>BALANZA ANALITICA (600X0.001G) MARCA ADAM, MODELO PGW 603I COLOR BLANCO CON CARGADOR SN ¬ AE923L57.</v>
          </cell>
          <cell r="F62" t="str">
            <v>Regular</v>
          </cell>
        </row>
        <row r="63">
          <cell r="C63" t="str">
            <v>4-05697</v>
          </cell>
          <cell r="D63" t="str">
            <v>BALANZA ANALITICA (600X0.001G) MARCA ADAM, MODELO PGW 603I COLOR BLANCO CON CARGADOR SN ¬ AE923L47.</v>
          </cell>
          <cell r="F63" t="str">
            <v>Regular</v>
          </cell>
        </row>
        <row r="64">
          <cell r="C64" t="str">
            <v>4-05744</v>
          </cell>
          <cell r="D64" t="str">
            <v>DESTILADOR DE AGUA: MARCA, GFL; MODELO, 2012; PROCEDENCIA ALEMANIA, COLOR CREMA</v>
          </cell>
          <cell r="F64" t="str">
            <v>Malo</v>
          </cell>
        </row>
        <row r="65">
          <cell r="C65" t="str">
            <v>4-05438</v>
          </cell>
          <cell r="D65" t="str">
            <v>DESTILADOR DE AGUA: MARCA, GFL; MODELO, 2012; PROCEDENCIA ALEMANIA, COLOR CREMA</v>
          </cell>
          <cell r="F65" t="str">
            <v>Regular</v>
          </cell>
        </row>
        <row r="66">
          <cell r="C66" t="str">
            <v>4-05724</v>
          </cell>
          <cell r="D66" t="str">
            <v>PH METRO DE MESA (RANGO 0 A 14 PH, RESOLUCION 0.01) SN¬ JC00077.</v>
          </cell>
          <cell r="F66" t="str">
            <v>Regular</v>
          </cell>
        </row>
        <row r="67">
          <cell r="C67" t="str">
            <v>4-05723</v>
          </cell>
          <cell r="D67" t="str">
            <v>PH METRO DE MESA (RANGO 0 A 14 PH, RESOLUCION 0.01) SN¬ JC00076</v>
          </cell>
          <cell r="F67" t="str">
            <v>Regular</v>
          </cell>
        </row>
        <row r="68">
          <cell r="C68" t="str">
            <v>4-05725</v>
          </cell>
          <cell r="D68" t="str">
            <v>PH METRO DE MESA (RANGO 0 A 14 PH, RESOLUCION 0.01) SN ¬ JC00063.</v>
          </cell>
          <cell r="F68" t="str">
            <v>Regular</v>
          </cell>
        </row>
        <row r="69">
          <cell r="C69" t="str">
            <v>4-11636</v>
          </cell>
          <cell r="D69" t="str">
            <v>BALANZA DE PRECISION MARCA RADWAG MODELO PS,4500.X2.M S/N 783232 PROCEDENCIA POLONIA</v>
          </cell>
          <cell r="F69" t="str">
            <v>Regular</v>
          </cell>
        </row>
        <row r="70">
          <cell r="C70" t="str">
            <v>4-011372</v>
          </cell>
          <cell r="D70" t="str">
            <v>BALANZA ANALITICA PROFESIONAL MARCA RADWAG MODELO A S 520.X2 PLUS PROCEDENCIA POLONIA SERIE 758025</v>
          </cell>
          <cell r="F70" t="str">
            <v>Regular</v>
          </cell>
        </row>
        <row r="71">
          <cell r="C71" t="str">
            <v>4-011375</v>
          </cell>
          <cell r="D71" t="str">
            <v>BALANZA DE PRECISION MARCA RADWAG MODELO PS4500.X2. M PROCEDENCIA POLONIA SERIE 694745</v>
          </cell>
          <cell r="F71" t="str">
            <v>Regular</v>
          </cell>
        </row>
        <row r="72">
          <cell r="C72" t="str">
            <v>4-05709</v>
          </cell>
          <cell r="D72" t="str">
            <v>HORNILLA PARA CALENTAMIENTO (MARCA BARNSTEAD, MOD. SP 131010-33, S/N 1310050571936) COLOR AMARILLO/ BLANCO</v>
          </cell>
          <cell r="F72" t="str">
            <v>Regular</v>
          </cell>
        </row>
        <row r="73">
          <cell r="C73" t="str">
            <v>4-05710</v>
          </cell>
          <cell r="D73" t="str">
            <v>HORNILLA PARA CALENTAMIENTO (MARCA BARNSTEAD, MOD. SP 131010-33, S/N 1310050571933) COLOR AMARILLO/ BLANCO</v>
          </cell>
          <cell r="F73" t="str">
            <v>Regular</v>
          </cell>
        </row>
        <row r="74">
          <cell r="C74" t="str">
            <v>4-05706</v>
          </cell>
          <cell r="D74" t="str">
            <v>HORNILLA PARA CALENTAMIENTO (MARCA BARNSTEAD, MOD. SP 131010-33, S/N 1310050570972) COLOR AMARILLO/ BLANCO</v>
          </cell>
          <cell r="F74" t="str">
            <v>Regular</v>
          </cell>
        </row>
        <row r="75">
          <cell r="C75" t="str">
            <v>4-05708</v>
          </cell>
          <cell r="D75" t="str">
            <v>HORNILLA PARA CALENTAMIENTO (MARCA BARNSTEAD, MOD. SP 131010-33, S/N 1310050570971)COLOR AMARILLO/ BLANCO</v>
          </cell>
          <cell r="F75" t="str">
            <v>Regular</v>
          </cell>
        </row>
        <row r="76">
          <cell r="C76" t="str">
            <v>4-05707</v>
          </cell>
          <cell r="D76" t="str">
            <v>HORNILLA PARA CALENTAMIENTO (MARCA BARNSTEAD, MOD. SP 131010-33, S/N 1310050570965) COLOR AMARILLO/ BLANCO</v>
          </cell>
          <cell r="F76" t="str">
            <v>Regular</v>
          </cell>
        </row>
        <row r="77">
          <cell r="C77" t="str">
            <v>4-05736</v>
          </cell>
          <cell r="D77" t="str">
            <v>ESTACION DE PUNTO DE FUSION ( RANGO HASTA 260¬C Y RESOLUCION 0.1¬C. MARCA VERNIER, MODELO MELT ESTATION COLOR NEGRO SN¬ B003258</v>
          </cell>
          <cell r="F77" t="str">
            <v>Regular</v>
          </cell>
        </row>
        <row r="78">
          <cell r="C78" t="str">
            <v>4-05737</v>
          </cell>
          <cell r="D78" t="str">
            <v>ESTACION DE PUNTO DE FUSION ( RANGO HASTA 260¬C Y RESOLUCION 0.1¬C. MARCA VERNIER, MODELO MELT ESTATION COLOR NEGRO SN¬ B003213.</v>
          </cell>
          <cell r="F78" t="str">
            <v>Regular</v>
          </cell>
        </row>
        <row r="79">
          <cell r="C79" t="str">
            <v>4-05738</v>
          </cell>
          <cell r="D79" t="str">
            <v>ESTACION DE PUNTO DE FUSION ( RANGO HASTA 260¬C Y RESOLUCION 0.1¬C. MARCA VERNIER, MODELO MELT ESTATION COLOR NEGRO SN¬ B003209</v>
          </cell>
          <cell r="F79" t="str">
            <v>Regular</v>
          </cell>
        </row>
        <row r="80">
          <cell r="C80">
            <v>4015</v>
          </cell>
          <cell r="D80" t="str">
            <v>MORTERO DE PORCELANA CON PIL-NLABORATORIO DE QUIMICAPEQUE­O</v>
          </cell>
          <cell r="F80" t="str">
            <v>Malo</v>
          </cell>
        </row>
        <row r="81">
          <cell r="C81">
            <v>4014</v>
          </cell>
          <cell r="D81" t="str">
            <v>MORTERO DE PORCELANA CON PIL-NLABORATORIO DE QUIMICAPEQUE­O</v>
          </cell>
          <cell r="F81" t="str">
            <v>Malo</v>
          </cell>
        </row>
        <row r="82">
          <cell r="C82">
            <v>4013</v>
          </cell>
          <cell r="D82" t="str">
            <v>MORTERO DE PORCELANA CON PIL-NLABORATORIO DE QUIMICAPEQUE­O</v>
          </cell>
          <cell r="F82" t="str">
            <v>Malo</v>
          </cell>
        </row>
        <row r="83">
          <cell r="C83">
            <v>4012</v>
          </cell>
          <cell r="D83" t="str">
            <v>MORTERO DE PORCELANA CON PIL-NLABORATORIO DE QUIMICAPEQUE­O</v>
          </cell>
          <cell r="F83" t="str">
            <v>Malo</v>
          </cell>
        </row>
        <row r="84">
          <cell r="C84">
            <v>4011</v>
          </cell>
          <cell r="D84" t="str">
            <v>MORTERO DE PORCELANA CON PIL-NLABORATORIO DE QUIMICAPEQUE­O</v>
          </cell>
          <cell r="F84" t="str">
            <v>Malo</v>
          </cell>
        </row>
        <row r="85">
          <cell r="C85">
            <v>4010</v>
          </cell>
          <cell r="D85" t="str">
            <v>MORTERO DE PORCELANA CON PIL-NLABORATORIO DE QUIMICAPEQUE­O</v>
          </cell>
          <cell r="F85" t="str">
            <v>Malo</v>
          </cell>
        </row>
        <row r="86">
          <cell r="C86" t="str">
            <v>4-05746</v>
          </cell>
          <cell r="D86" t="str">
            <v>UPS + ESTABILIZADOR 750 VA 375 W FORZA</v>
          </cell>
          <cell r="F86" t="str">
            <v>Malo</v>
          </cell>
        </row>
        <row r="87">
          <cell r="C87" t="str">
            <v>4-05747</v>
          </cell>
          <cell r="D87" t="str">
            <v>UPS + ESTABILIZADOR 2200 VA 1200 W FORZA</v>
          </cell>
          <cell r="F87" t="str">
            <v>Malo</v>
          </cell>
        </row>
        <row r="88">
          <cell r="C88">
            <v>7785</v>
          </cell>
          <cell r="D88" t="str">
            <v>UPS + ESTABILIZADOR 2.1 KILOW SURE</v>
          </cell>
          <cell r="F88" t="str">
            <v>Malo</v>
          </cell>
        </row>
        <row r="89">
          <cell r="C89" t="str">
            <v>4-00297</v>
          </cell>
          <cell r="D89" t="str">
            <v>MONITOR SAMSUNG DE 21,5 PULGADAS LCD CON ALIMENTACION DIRECTA MODELO 0033</v>
          </cell>
          <cell r="F89" t="str">
            <v>Regular</v>
          </cell>
        </row>
        <row r="90">
          <cell r="C90" t="str">
            <v>4-05999</v>
          </cell>
          <cell r="D90" t="str">
            <v>COMPRESORA DE AIRE (2,5 HP, 60 LITROS DE CAPACIDAD) MOD. LB50F MARCA POWER USA, COLOR AZUL OSCURO</v>
          </cell>
          <cell r="F90" t="str">
            <v>Regular</v>
          </cell>
        </row>
        <row r="91">
          <cell r="C91" t="str">
            <v>4-00300</v>
          </cell>
          <cell r="D91" t="str">
            <v>CPU TIPO A T.MADRE 04KX MPROS.0704 D.DURO 1TERA C76V, LECT.QUEM LG 8766, T.VID 0033 T.RED 2554 M.RAN 4GIGA 5VL38DTLD1</v>
          </cell>
          <cell r="F91" t="str">
            <v>Regular</v>
          </cell>
        </row>
        <row r="92">
          <cell r="C92" t="str">
            <v>4-05728</v>
          </cell>
          <cell r="D92" t="str">
            <v>ESPECTROFOTOMETRO VISIBLE ( RANGO380 - 950 MM.) COLOR NEGRO CON CARGADOR, CABLE USB, SN¬ S08085.</v>
          </cell>
          <cell r="F92" t="str">
            <v>Regular</v>
          </cell>
        </row>
        <row r="93">
          <cell r="C93" t="str">
            <v>4-05730</v>
          </cell>
          <cell r="D93" t="str">
            <v>ESPECTROFOTOMETRO VISIBLE ( RANGO380 - 950 MM.) COLOR NEGRO CON CARGADOR, CABLE USB, SN¬ S08072</v>
          </cell>
          <cell r="F93" t="str">
            <v>Regular</v>
          </cell>
        </row>
        <row r="94">
          <cell r="C94" t="str">
            <v>4-05729</v>
          </cell>
          <cell r="D94" t="str">
            <v>ESPECTROFOTOMETRO VISIBLE ( RANGO380 - 950 MM.) COLOR NEGRO CON CARGADOR, CABLE USB, SN¬ S07882</v>
          </cell>
          <cell r="F94" t="str">
            <v>Regular</v>
          </cell>
        </row>
        <row r="95">
          <cell r="C95" t="str">
            <v>4-05731</v>
          </cell>
          <cell r="D95" t="str">
            <v>ESPECTROFOTOMETRO VISIBLE ( RANGO380 - 950 MM.) COLOR NEGRO CON CARGADOR, CABLE USB, SN¬ S07868</v>
          </cell>
          <cell r="F95" t="str">
            <v>Regular</v>
          </cell>
        </row>
        <row r="96">
          <cell r="C96" t="str">
            <v>4-09571</v>
          </cell>
          <cell r="D96" t="str">
            <v>PROYECTOR EPSON MODELO + 41 - 3600 LUMENES RESOLUCION 1024 X768 LAMPARA 200W S/N X4HS7Z01624</v>
          </cell>
          <cell r="F96" t="str">
            <v>Regular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 CIVIL"/>
      <sheetName val="ATAHUICHI (ELECTRÓNICA)"/>
      <sheetName val="ATAHUICHI (AUTOMATIZACIÓN)"/>
      <sheetName val="ATAHUICHI (NEUMÁTICA)"/>
      <sheetName val="ATAHUICHI (SISTEMAS SIMULACIÓN)"/>
      <sheetName val="ZABALA (ELECTRÓNICA)"/>
      <sheetName val="ZABALA (AUTOMATIZACIÓN)"/>
      <sheetName val="ZABALA (SISTEMAS SIMULACIÓN)"/>
      <sheetName val="ZABALA (NEUMÁTICA)"/>
    </sheetNames>
    <sheetDataSet>
      <sheetData sheetId="0" refreshError="1">
        <row r="4">
          <cell r="C4" t="str">
            <v>DIEGO LEONARDO SIMONS LINARES</v>
          </cell>
        </row>
        <row r="9">
          <cell r="B9" t="str">
            <v>4-11511</v>
          </cell>
          <cell r="C9" t="str">
            <v>ESCLEROMETRO MARCA MATEST MODELO C380 NUMERO DE SERIE C380-BC/0036 PROCEDENCIA ITALIA</v>
          </cell>
          <cell r="D9" t="str">
            <v>Regular</v>
          </cell>
        </row>
        <row r="10">
          <cell r="B10" t="str">
            <v>4-11512</v>
          </cell>
          <cell r="C10" t="str">
            <v>ESCLEROMETRO MARCA MATEST MODELO C380 NUMERO DE SERIE C380-BC/0029 PROCEDENCIA ITALIA</v>
          </cell>
          <cell r="D10" t="str">
            <v>Regular</v>
          </cell>
        </row>
        <row r="11">
          <cell r="B11" t="str">
            <v>4-011338</v>
          </cell>
          <cell r="C11" t="str">
            <v>MAQUINA CRB MOTORIZADA, 50KN MARCA MATEST MODELO S211 KIT PROCEDENCIA DE ITALIA SERIE S211-10/BC/0030</v>
          </cell>
          <cell r="D11" t="str">
            <v>Regular</v>
          </cell>
        </row>
        <row r="12">
          <cell r="B12" t="str">
            <v>4-05609</v>
          </cell>
          <cell r="C12" t="str">
            <v>MOLDE DE PROCTOR ESTANDAR</v>
          </cell>
          <cell r="D12" t="str">
            <v>Regular</v>
          </cell>
        </row>
        <row r="13">
          <cell r="B13" t="str">
            <v>4-011304</v>
          </cell>
          <cell r="C13" t="str">
            <v>EQUIPO PARA LIMITE DE CONTRACCION MARCA MATEST MODELO S175 PROCEDENCIA ITALIA SERIE S175-0/BB/00008</v>
          </cell>
          <cell r="D13" t="str">
            <v>Regular</v>
          </cell>
        </row>
        <row r="14">
          <cell r="B14" t="str">
            <v>4-011303</v>
          </cell>
          <cell r="C14" t="str">
            <v>EQUIPO PARA LIMITE DE CONTRACCION MARCA MATEST MODELO S175 PROCEDENCIA ITALIA SERIE S175-0/BB/00006</v>
          </cell>
          <cell r="D14" t="str">
            <v>Regular</v>
          </cell>
        </row>
        <row r="15">
          <cell r="B15" t="str">
            <v>4-011302</v>
          </cell>
          <cell r="C15" t="str">
            <v>EQUIPO PARA LIMITE DE CONTRACCION MARCA MATEST MODELO S175 PROCEDENCIA ITALIA SERIE S175-0/BB/00004</v>
          </cell>
          <cell r="D15" t="str">
            <v>Regular</v>
          </cell>
        </row>
        <row r="16">
          <cell r="B16" t="str">
            <v>4-011301</v>
          </cell>
          <cell r="C16" t="str">
            <v>EQUIPO PARA LIMITE DE CONTRACCION MARCA MATEST MODELO S175 PROCEDENCIA ITALIA SERIE S175-0/BB/00003</v>
          </cell>
          <cell r="D16" t="str">
            <v>Regular</v>
          </cell>
        </row>
        <row r="17">
          <cell r="B17" t="str">
            <v>4-011300</v>
          </cell>
          <cell r="C17" t="str">
            <v>EQUIPO PARA LIMITE DE CONTRACCION MARCA MATEST MODELO S175 PROCEDENCIA ITALIA SERIE S175-0/BB/00002</v>
          </cell>
          <cell r="D17" t="str">
            <v>Regular</v>
          </cell>
        </row>
        <row r="18">
          <cell r="B18" t="str">
            <v>4-011309</v>
          </cell>
          <cell r="C18" t="str">
            <v>EQUIPO PARA LIMITE DE PLASTICO MARCA MATEST MODELO S178 PROCEDENCIA ITALIA SERIE S178-0/BB/00008</v>
          </cell>
          <cell r="D18" t="str">
            <v>Regular</v>
          </cell>
        </row>
        <row r="19">
          <cell r="B19" t="str">
            <v>4-011308</v>
          </cell>
          <cell r="C19" t="str">
            <v>EQUIPO PARA LIMITE DE PLASTICO MARCA MATEST MODELO S178 PROCEDENCIA ITALIA SERIE S178-0/BB/00006</v>
          </cell>
          <cell r="D19" t="str">
            <v>Regular</v>
          </cell>
        </row>
        <row r="20">
          <cell r="B20" t="str">
            <v>4-011307</v>
          </cell>
          <cell r="C20" t="str">
            <v>EQUIPO PARA LIMITE DE PLASTICO MARCA MATEST MODELO S178 PROCEDENCIA ITALIA SERIE S178-0/BB/00004</v>
          </cell>
          <cell r="D20" t="str">
            <v>Regular</v>
          </cell>
        </row>
        <row r="21">
          <cell r="B21" t="str">
            <v>4-011306</v>
          </cell>
          <cell r="C21" t="str">
            <v>EQUIPO PARA LIMITE DE PLASTICO MARCA MATEST MODELO S178 PROCEDENCIA ITALIA SERIE S178-0/BB/00003</v>
          </cell>
          <cell r="D21" t="str">
            <v>Regular</v>
          </cell>
        </row>
        <row r="22">
          <cell r="B22" t="str">
            <v>4-011305</v>
          </cell>
          <cell r="C22" t="str">
            <v>EQUIPO PARA LIMITE DE PLASTICO MARCA MATEST MODELO S178 PROCEDENCIA ITALIA SERIE S178-0/BB/00002</v>
          </cell>
          <cell r="D22" t="str">
            <v>Regular</v>
          </cell>
        </row>
        <row r="23">
          <cell r="B23" t="str">
            <v>4-011299</v>
          </cell>
          <cell r="C23" t="str">
            <v>EQUIPO PARA LIMITE LIQUIDO CASA GRANDE MARCA MATEST MODELO S172 PROCEDENCIA ITALIA SERIE S172N/BC/0019</v>
          </cell>
          <cell r="D23" t="str">
            <v>Regular</v>
          </cell>
        </row>
        <row r="24">
          <cell r="B24" t="str">
            <v>4-011298</v>
          </cell>
          <cell r="C24" t="str">
            <v>EQUIPO PARA LIMITE LIQUIDO CASA GRANDE MARCA MATEST MODELO S172 PROCEDENCIA ITALIA SERIE S172N/BC/0018</v>
          </cell>
          <cell r="D24" t="str">
            <v>Regular</v>
          </cell>
        </row>
        <row r="25">
          <cell r="B25" t="str">
            <v>4-011297</v>
          </cell>
          <cell r="C25" t="str">
            <v>EQUIPO PARA LIMITE LIQUIDO CASA GRANDE MARCA MATEST MODELO S172 PROCEDENCIA ITALIA SERIE S172N/BC/0017</v>
          </cell>
          <cell r="D25" t="str">
            <v>Regular</v>
          </cell>
        </row>
        <row r="26">
          <cell r="B26" t="str">
            <v>4-011296</v>
          </cell>
          <cell r="C26" t="str">
            <v>EQUIPO PARA LIMITE LIQUIDO CASA GRANDE MARCA MATEST MODELO S172 PROCEDENCIA ITALIA SERIE S172N/BC/0016</v>
          </cell>
          <cell r="D26" t="str">
            <v>Regular</v>
          </cell>
        </row>
        <row r="27">
          <cell r="B27" t="str">
            <v>4-011295</v>
          </cell>
          <cell r="C27" t="str">
            <v>EQUIPO PARA LIMITE LIQUIDO CASA GRANDE MARCA MATEST MODELO S172 PROCEDENCIA ITALIA SERIE S172N/BC/0013</v>
          </cell>
          <cell r="D27" t="str">
            <v>Regular</v>
          </cell>
        </row>
        <row r="28">
          <cell r="B28" t="str">
            <v>4-05616</v>
          </cell>
          <cell r="C28" t="str">
            <v>NIVEL OPTICO MODELO B-40.- CON DOS MIRAS DE MADERA Y UN TRIPODE DE ALUMINIO</v>
          </cell>
          <cell r="D28" t="str">
            <v>Regular</v>
          </cell>
        </row>
        <row r="29">
          <cell r="B29" t="str">
            <v>4-08791</v>
          </cell>
          <cell r="C29" t="str">
            <v>MESA DE SACUDIDAS MARCA MATEST, MOD. E087-KIT, POTENCIA 150W, CONEXION 220V/50HZ, MOLDE DE FLUIDEZ 
SEGUN NORMA ASTM, C230 EQUIPO MOTORIZADO</v>
          </cell>
          <cell r="D29" t="str">
            <v>Regular</v>
          </cell>
        </row>
        <row r="30">
          <cell r="B30">
            <v>8456</v>
          </cell>
          <cell r="C30" t="str">
            <v>DISCO ESPACIADOR</v>
          </cell>
          <cell r="D30" t="str">
            <v>Regular</v>
          </cell>
        </row>
        <row r="31">
          <cell r="B31" t="str">
            <v>4-07058</v>
          </cell>
          <cell r="C31" t="str">
            <v>DISCO ESPACIADOR PARA CBR CROMADOS</v>
          </cell>
          <cell r="D31" t="str">
            <v>Regular</v>
          </cell>
        </row>
        <row r="32">
          <cell r="B32" t="str">
            <v>4-11516</v>
          </cell>
          <cell r="C32" t="str">
            <v>FLEXION ASIMETRICA MARCA GUNT MODELO FL160 NUMERO DE SERIE 236895 PROCEDENCIA ALEMANIA</v>
          </cell>
          <cell r="D32" t="str">
            <v>Regular</v>
          </cell>
        </row>
        <row r="33">
          <cell r="B33" t="str">
            <v>4-07100</v>
          </cell>
          <cell r="C33" t="str">
            <v>ANALISIS DEL TAMA­O DE LAS PARTICULAS DE LOS SUELOS METODO DE HIDROMETRO MARCA MATEST CODIGO DE REFERENCIA S155-KIT PROCEDENCIA ITALIA DE 12 PIEZAS</v>
          </cell>
          <cell r="D33" t="str">
            <v>Regular</v>
          </cell>
        </row>
        <row r="34">
          <cell r="B34" t="str">
            <v>4-011313</v>
          </cell>
          <cell r="C34" t="str">
            <v>EQUIPO PARA ANALISIS DEL TAMANO DE LAS PARTICULAS DE LOS SUELOS MARCA MATEST MODELO S155KIT PROCEDENCIA ITALIA SERIE S156-10N/BB/0064</v>
          </cell>
          <cell r="D34" t="str">
            <v>Regular</v>
          </cell>
        </row>
        <row r="35">
          <cell r="B35" t="str">
            <v>4-011312</v>
          </cell>
          <cell r="C35" t="str">
            <v>EQUIPO PARA ANALISIS DEL TAMANO DE LAS PARTICULAS DE LOS SUELOS MARCA MATEST MODELO S155KIT PROCEDENCIA ITALIA SERIE S156-10N/BB/0063</v>
          </cell>
          <cell r="D35" t="str">
            <v>Regular</v>
          </cell>
        </row>
        <row r="36">
          <cell r="B36">
            <v>8474</v>
          </cell>
          <cell r="C36" t="str">
            <v>EQUIPO DE CHATELIER</v>
          </cell>
          <cell r="D36" t="str">
            <v>Regular</v>
          </cell>
        </row>
        <row r="37">
          <cell r="B37">
            <v>5508</v>
          </cell>
          <cell r="C37" t="str">
            <v>CONJUNTO PARA DETERMINAR EL LIMITE PL-STICO DE LOS SUELOS VIDRIO TRIPLE4X4CON BARILLA METALICA , C-PSULA Y TAPA DE ALUMINIO.</v>
          </cell>
          <cell r="D37" t="str">
            <v>Regular</v>
          </cell>
        </row>
        <row r="38">
          <cell r="B38" t="str">
            <v>4-07108</v>
          </cell>
          <cell r="C38" t="str">
            <v>CONJUNTO COMPLETO DE ENSAYO CONO ABRAMS, MARCA MATEST, CODIGO DE REFERENCIA C180-KIT, PROCEDENCIA ITALIA, CANTIDAD PIEZAS 8, COLOR PLATA</v>
          </cell>
          <cell r="D38" t="str">
            <v>Regular</v>
          </cell>
        </row>
        <row r="39">
          <cell r="B39" t="str">
            <v>4-05587</v>
          </cell>
          <cell r="C39" t="str">
            <v>EQUIPO PARA ENSAYO DE EQUIVALENTES DE ARENA ( 4 PROVETA CON REGLETA METALICA, MALETIN NEGRO)</v>
          </cell>
          <cell r="D39" t="str">
            <v>Regular</v>
          </cell>
        </row>
        <row r="40">
          <cell r="B40" t="str">
            <v>4-09814</v>
          </cell>
          <cell r="C40" t="str">
            <v>EQUIPO DE PUNTO DE ABLANDAMIENTO MARCA TECNICAS CP. 2 CON 1V ASO DE PRESIPITADOS RESISTENTE A TEMPERATURAS ESFERAS ANILLOS DE METAL SOPORTE</v>
          </cell>
          <cell r="D40" t="str">
            <v>Regular</v>
          </cell>
        </row>
        <row r="41">
          <cell r="B41" t="str">
            <v>4-07079</v>
          </cell>
          <cell r="C41" t="str">
            <v>KIT PARA ENSAYO DE DENSIDAD REAL, NETA Y ABSORCION DE ARIDO FINO; MARCA MATEST; PROCEDENCIA ITALIA</v>
          </cell>
          <cell r="D41" t="str">
            <v>Regular</v>
          </cell>
        </row>
        <row r="42">
          <cell r="B42" t="str">
            <v>4-05581</v>
          </cell>
          <cell r="C42" t="str">
            <v>KIT PARA ENSAYO DE DENSIDAD REAL, NETA Y ABSORCION DE ARIDO FINO; MARCA MATEST; PROCEDENCIA ITALIA</v>
          </cell>
          <cell r="D42" t="str">
            <v>Regular</v>
          </cell>
        </row>
        <row r="43">
          <cell r="B43" t="str">
            <v>4-09816</v>
          </cell>
          <cell r="C43" t="str">
            <v>KIT PARA PRUEBA DE CONTRACCION CON MORTERO DE PORCELANA, PROBETA GRADUADA, PLACA DE CONTRACCION, ESPATULA, REGLA ENRASADORA S/RET220110-220112-22011</v>
          </cell>
          <cell r="D43" t="str">
            <v>Regular</v>
          </cell>
        </row>
        <row r="44">
          <cell r="B44" t="str">
            <v>4-09815</v>
          </cell>
          <cell r="C44" t="str">
            <v>KIT DE PRUEBA PARA LIMITE CON 1 PLACA DE VIDRIO, VARILLA DE ACERO, LATAS DE CONTENIDO DE HUMEDAD, PLATO PARA MEZCLAR, ESPATULA 2 TAMIZ</v>
          </cell>
          <cell r="D44" t="str">
            <v>Regular</v>
          </cell>
        </row>
        <row r="45">
          <cell r="B45">
            <v>8758</v>
          </cell>
          <cell r="C45" t="str">
            <v>KIT DE HERRAMIENTAS DE PENETRACION, INCLUYELLAVES STILSON DE 14',2 Y 18', 24', 2 BARRERO CILINDRICO DE 4',1 Y 2 1/4, 1 PALA POSTEADORA</v>
          </cell>
          <cell r="D45" t="str">
            <v>Regular</v>
          </cell>
        </row>
        <row r="46">
          <cell r="B46" t="str">
            <v>4-05586</v>
          </cell>
          <cell r="C46" t="str">
            <v>KIT PARA EQUIVALENTE DE ARENA: MARCA, MATEST; MODELO, S159-01 KIT; PROCEDENCIA ITALIA</v>
          </cell>
          <cell r="D46" t="str">
            <v>Regular</v>
          </cell>
        </row>
        <row r="47">
          <cell r="B47" t="str">
            <v>4-05565</v>
          </cell>
          <cell r="C47" t="str">
            <v>KIT PARA EQUIVALENTE DE ARENA: MARCA, MATEST; MODELO, S159-01 KIT; PROCEDENCIA ITALIA</v>
          </cell>
          <cell r="D47" t="str">
            <v>Regular</v>
          </cell>
        </row>
        <row r="48">
          <cell r="B48" t="str">
            <v>4-05438A</v>
          </cell>
          <cell r="C48" t="str">
            <v>KIT DE BA­O MARIA DIGITAL EN ACERO INOXIDABLE DE 50 T CON RECIRCULACION DE AGUA Y TERMOMETRO MARCA MATEST MODELO B052 PROCEDENCIA ITALIA COLOR PLATA</v>
          </cell>
          <cell r="D48" t="str">
            <v>Regular</v>
          </cell>
        </row>
        <row r="49">
          <cell r="B49">
            <v>8754</v>
          </cell>
          <cell r="C49" t="str">
            <v>EQUIPOPARA REALIZAR ENSAYO A LA PERCUSION DIMENSIONES BAJ NORMA ASTMD-1586 DIAMETRO DE EXTERIOR DE 1 3/4'</v>
          </cell>
          <cell r="D49" t="str">
            <v>Regular</v>
          </cell>
        </row>
        <row r="50">
          <cell r="B50" t="str">
            <v>4-05617</v>
          </cell>
          <cell r="C50" t="str">
            <v>EQUIPO PARA PRISMA GRADUADO, CON PORTAJALONES METRALICOS</v>
          </cell>
          <cell r="D50" t="str">
            <v>Regular</v>
          </cell>
        </row>
        <row r="51">
          <cell r="B51" t="str">
            <v>4-05618</v>
          </cell>
          <cell r="C51" t="str">
            <v>EQUIPO COMPLETO PARA PRISMA SIMPLE CON PORTAJALONES METALICOS</v>
          </cell>
          <cell r="D51" t="str">
            <v>Regular</v>
          </cell>
        </row>
        <row r="52">
          <cell r="B52" t="str">
            <v>4-11510</v>
          </cell>
          <cell r="C52" t="str">
            <v>MAQUINA DE ABRASION DE LOS ANGELES MARCA MATEST MODELO A075N NUMERO DE SERIE A075N/AB/0012 PROCEDENCIA ITALIA</v>
          </cell>
          <cell r="D52" t="str">
            <v>Regular</v>
          </cell>
        </row>
        <row r="53">
          <cell r="B53" t="str">
            <v>4-09810</v>
          </cell>
          <cell r="C53" t="str">
            <v>MOLDE PRISMATICO MATERIAL:METALICO MEDIDAS:15X15X50 DE 6 PULGADAS DE DIAMETRO COLOR PLOMOSERIEN¬2213</v>
          </cell>
          <cell r="D53" t="str">
            <v>Regular</v>
          </cell>
        </row>
        <row r="54">
          <cell r="B54" t="str">
            <v>4-09813</v>
          </cell>
          <cell r="C54" t="str">
            <v>MOLDE PRISMATICO MATERIAL:METALICO MEDIDAS:15X15X50 DE 6 PULGADAS DE DIAMETRO COLOR PLOMO SERIEN¬2216</v>
          </cell>
          <cell r="D54" t="str">
            <v>Regular</v>
          </cell>
        </row>
        <row r="55">
          <cell r="B55" t="str">
            <v>4-09812</v>
          </cell>
          <cell r="C55" t="str">
            <v>MOLDE PRISMATICO MATERIAL:METALICO MEDIDAS:15X15X50 DE 6 PULGADAS DE DIAMETRO COLOR PLOMO SERIEN¬2215</v>
          </cell>
          <cell r="D55" t="str">
            <v>Regular</v>
          </cell>
        </row>
        <row r="56">
          <cell r="B56" t="str">
            <v>4-09811</v>
          </cell>
          <cell r="C56" t="str">
            <v>MOLDE PRISMATICO MATERIAL:METALICO MEDIDAS:15X15X50 DE 6 PULGADAS DE DIAMETRO COLOR PLOMO SERIEN¬2214</v>
          </cell>
          <cell r="D56" t="str">
            <v>Regular</v>
          </cell>
        </row>
        <row r="57">
          <cell r="B57" t="str">
            <v>4-09809</v>
          </cell>
          <cell r="C57" t="str">
            <v>MOLDE PRISMATICO MATERIAL:METALICO MEDIDAS:15X15X50 DE 6 PULGADAS DE DIAMETRO COLOR PLOMO SERIEN¬2212</v>
          </cell>
          <cell r="D57" t="str">
            <v>Regular</v>
          </cell>
        </row>
        <row r="58">
          <cell r="B58" t="str">
            <v>4-09808</v>
          </cell>
          <cell r="C58" t="str">
            <v>MOLDE PRISMATICO MATERIAL:METALICO MEDIDAS:15X15X50 DE 6 PULGADAS DE DIAMETRO COLOR PLOMO SERIEN¬2211</v>
          </cell>
          <cell r="D58" t="str">
            <v>Regular</v>
          </cell>
        </row>
        <row r="59">
          <cell r="B59" t="str">
            <v>4-011311</v>
          </cell>
          <cell r="C59" t="str">
            <v>CUARTEADOR UNIVERSAL DE MUESTRAS MARCA MATEST MODELO A068 PROCEDENCIA ITALIA SERIE A068-05/BC/0009</v>
          </cell>
          <cell r="D59" t="str">
            <v>Regular</v>
          </cell>
        </row>
        <row r="60">
          <cell r="B60" t="str">
            <v>4-011310</v>
          </cell>
          <cell r="C60" t="str">
            <v>CUARTEADOR UNIVERSAL DE MUESTRAS MARCA MATEST MODELO A068 PROCEDENCIA ITALIA SERIE A068-05/BC/0007</v>
          </cell>
          <cell r="D60" t="str">
            <v>Regular</v>
          </cell>
        </row>
        <row r="61">
          <cell r="B61" t="str">
            <v>4-08781</v>
          </cell>
          <cell r="C61" t="str">
            <v>CUARTEADOR DE MUESTRAS DE GRAN CAPAC MARCA MATEST MOD. A008,MD1,EN,02 DIMENSIONES ALTURA TOTAL 990MM PESO APROX. 50 KG.</v>
          </cell>
          <cell r="D61" t="str">
            <v>Regular</v>
          </cell>
        </row>
        <row r="62">
          <cell r="B62" t="str">
            <v>4-05621</v>
          </cell>
          <cell r="C62" t="str">
            <v>MARTILLO DE PROCTOR ESTANDAR</v>
          </cell>
          <cell r="D62" t="str">
            <v>Regular</v>
          </cell>
        </row>
        <row r="63">
          <cell r="B63" t="str">
            <v>4-08615</v>
          </cell>
          <cell r="C63" t="str">
            <v>MESON DE TRABAJO CON PANEL PERFORADO METALICA BASE GRANITO 3 CAJONES LADERAS 2 PUERTAS ABATIBLES UNA BANDEJA Y 6 RUEDAS DE 0.90X200X0.90 CM DE ALTO</v>
          </cell>
          <cell r="D63" t="str">
            <v>Regular</v>
          </cell>
        </row>
        <row r="64">
          <cell r="B64" t="str">
            <v>4-08614</v>
          </cell>
          <cell r="C64" t="str">
            <v>MESON DE TRABAJO CON PANEL PERFORADO METALICA BASE GRANITO 3 CAJONES LADERAS 2 PUERTAS ABATIBLES UNA BANDEJA Y 6 RUEDAS DE 0.90X200X0.90 CM DE ALTO</v>
          </cell>
          <cell r="D64" t="str">
            <v>Regular</v>
          </cell>
        </row>
        <row r="65">
          <cell r="B65" t="str">
            <v>4-08613</v>
          </cell>
          <cell r="C65" t="str">
            <v>MESON DE TRABAJO CON PANEL PERFORADO METALICA BASE GRANITO 3 CAJONES LADERAS 2 PUERTAS ABATIBLES UNA BANDEJA Y 6 RUEDAS DE 0.90X200X0.90 CM DE ALTO</v>
          </cell>
          <cell r="D65" t="str">
            <v>Regular</v>
          </cell>
        </row>
        <row r="66">
          <cell r="B66" t="str">
            <v>4-011350</v>
          </cell>
          <cell r="C66" t="str">
            <v>MOLDE MARSHALL 4 MARCA MATEST MODELO B030 KIT PROCEDENCIA DE ITALIA SERIE B030-KIT/BA/007</v>
          </cell>
          <cell r="D66" t="str">
            <v>Regular</v>
          </cell>
        </row>
        <row r="67">
          <cell r="B67" t="str">
            <v>4-011349</v>
          </cell>
          <cell r="C67" t="str">
            <v>MOLDE MARSHALL 4 MARCA MATEST MODELO B030 KIT PROCEDENCIA DE ITALIA SERIE B030-KIT/BA/006</v>
          </cell>
          <cell r="D67" t="str">
            <v>Regular</v>
          </cell>
        </row>
        <row r="68">
          <cell r="B68" t="str">
            <v>4-011348</v>
          </cell>
          <cell r="C68" t="str">
            <v>MOLDE MARSHALL 4 MARCA MATEST MODELO B030 KIT PROCEDENCIA DE ITALIA SERIE B030-KIT/BA/005</v>
          </cell>
          <cell r="D68" t="str">
            <v>Regular</v>
          </cell>
        </row>
        <row r="69">
          <cell r="B69" t="str">
            <v>4-011347</v>
          </cell>
          <cell r="C69" t="str">
            <v>MOLDE MARSHALL 4 MARCA MATEST MODELO B030 KIT PROCEDENCIA DE ITALIA SERIE B030-KIT/BA/004</v>
          </cell>
          <cell r="D69" t="str">
            <v>Regular</v>
          </cell>
        </row>
        <row r="70">
          <cell r="B70" t="str">
            <v>4-011346</v>
          </cell>
          <cell r="C70" t="str">
            <v>MOLDE MARSHALL 4 MARCA MATEST MODELO B030 KIT PROCEDENCIA DE ITALIA SERIE B030-KIT/BA/003</v>
          </cell>
          <cell r="D70" t="str">
            <v>Regular</v>
          </cell>
        </row>
        <row r="71">
          <cell r="B71" t="str">
            <v>4-011345</v>
          </cell>
          <cell r="C71" t="str">
            <v>MOLDE MARSHALL 4 MARCA MATEST MODELO B030 KIT PROCEDENCIA DE ITALIA SERIE B030-KIT/BA/002</v>
          </cell>
          <cell r="D71" t="str">
            <v>Regular</v>
          </cell>
        </row>
        <row r="72">
          <cell r="B72" t="str">
            <v>4-011325</v>
          </cell>
          <cell r="C72" t="str">
            <v>PENETROMETRO DE CONO SEMI AUTOMATICO MARCA MATEST MODELO S165-02 KIT PROCEDENCIA DE ITALIA SERIE S165-02/BA/156</v>
          </cell>
          <cell r="D72" t="str">
            <v>Regular</v>
          </cell>
        </row>
        <row r="73">
          <cell r="B73" t="str">
            <v>4-011324</v>
          </cell>
          <cell r="C73" t="str">
            <v>PENETROMETRO DE CONO SEMI AUTOMATICO MARCA MATEST MODELO S165-02 KIT PROCEDENCIA DE ITALIA SERIE S165-02/BA/155</v>
          </cell>
          <cell r="D73" t="str">
            <v>Regular</v>
          </cell>
        </row>
        <row r="74">
          <cell r="B74" t="str">
            <v>4-011351</v>
          </cell>
          <cell r="C74" t="str">
            <v>PENETROMETRO AUTOMATICO MARCA MATEST MODELO B059M PROCEDENCIA ITALIA SERIE B059M/BC/0008</v>
          </cell>
          <cell r="D74" t="str">
            <v>Regular</v>
          </cell>
        </row>
        <row r="75">
          <cell r="B75" t="str">
            <v>4-11508</v>
          </cell>
          <cell r="C75" t="str">
            <v>EQUIPO VICAT AUTOMATICO MARCA MATEST MODELO E044N NUMERO DE SERIE E044N/AB/0023 PROCEDENCIA ITALIA</v>
          </cell>
          <cell r="D75" t="str">
            <v>Regular</v>
          </cell>
        </row>
        <row r="76">
          <cell r="B76" t="str">
            <v>4-08784</v>
          </cell>
          <cell r="C76" t="str">
            <v>EQUIPO TANQUE DE CURADO MATEST MOD. C302 KIT CAPAC 650 LITROS MEDIDAS 104*104*60,5 CM CON REJILLA DE CARGA PARA LA MUESTRA CALENTADOR DE INMERSION.</v>
          </cell>
          <cell r="D76" t="str">
            <v>Regular</v>
          </cell>
        </row>
        <row r="77">
          <cell r="B77" t="str">
            <v>4-08789</v>
          </cell>
          <cell r="C77" t="str">
            <v>EQUIPO DE INDICADOR DE ELONGACION MARCA MATEST, MOD. A071.</v>
          </cell>
          <cell r="D77" t="str">
            <v>Regular</v>
          </cell>
        </row>
        <row r="78">
          <cell r="B78" t="str">
            <v>4-011343</v>
          </cell>
          <cell r="C78" t="str">
            <v>DUCTILOMETRO MARCA MATEST MODELO B054 PROCEDENCIA DE ITALIA SERIE B054/BA/006</v>
          </cell>
          <cell r="D78" t="str">
            <v>Regular</v>
          </cell>
        </row>
        <row r="79">
          <cell r="B79" t="str">
            <v>4-05614</v>
          </cell>
          <cell r="C79" t="str">
            <v>ESTACION TOTAL MARCA:SOKKIA MODELO SET650X SERIE: 112493</v>
          </cell>
          <cell r="D79" t="str">
            <v>Regular</v>
          </cell>
        </row>
        <row r="80">
          <cell r="B80" t="str">
            <v>4-07059</v>
          </cell>
          <cell r="C80" t="str">
            <v>TAMICES CERTIFICADOS EN BRONCE DE 8' DIAM. 8BB8F49735</v>
          </cell>
          <cell r="D80" t="str">
            <v>Regular</v>
          </cell>
        </row>
        <row r="81">
          <cell r="B81" t="str">
            <v>4-05531</v>
          </cell>
          <cell r="C81" t="str">
            <v>JUEGO DE TAMIZ 8' DE 13 PIEZAS DIFERENTES MEDIDAS DE MALLA COLOR GRIS MARCA MATEST</v>
          </cell>
          <cell r="D81" t="str">
            <v>Regular</v>
          </cell>
        </row>
        <row r="82">
          <cell r="B82" t="str">
            <v>4-05530</v>
          </cell>
          <cell r="C82" t="str">
            <v>JUEGO DE TAMIZ 8' DE 13 PIEZAS DIFERENTES MEDIDAS DE MALLA COLOR GRIS MARCA MATEST</v>
          </cell>
          <cell r="D82" t="str">
            <v>Malo</v>
          </cell>
        </row>
        <row r="83">
          <cell r="B83" t="str">
            <v>4-05529</v>
          </cell>
          <cell r="C83" t="str">
            <v>JUEGO DE TAMIZ 8' DE 13 PIEZAS DIFERENTES MEDIDAS DE MALLA COLOR GRIS MARCA MATEST</v>
          </cell>
          <cell r="D83" t="str">
            <v>Regular</v>
          </cell>
        </row>
        <row r="84">
          <cell r="B84" t="str">
            <v>4-05528</v>
          </cell>
          <cell r="C84" t="str">
            <v>JUEGO DE TAMIZ 8' DE 13 PIEZAS DIFERENTES MEDIDAS DE MALLA COLOR GRIS MARCA MATEST</v>
          </cell>
          <cell r="D84" t="str">
            <v>Regular</v>
          </cell>
        </row>
        <row r="85">
          <cell r="B85" t="str">
            <v>4-05527</v>
          </cell>
          <cell r="C85" t="str">
            <v>JUEGO DE TAMIZ 8' DE 13 PIEZAS DIFERENTES MEDIDAS DE MALLA COLOR GRIS MARCA MATEST</v>
          </cell>
          <cell r="D85" t="str">
            <v>Regular</v>
          </cell>
        </row>
        <row r="86">
          <cell r="B86" t="str">
            <v>4-05526</v>
          </cell>
          <cell r="C86" t="str">
            <v>JUEGO DE TAMIZ 8' DE 13 PIEZAS DIFERENTES MEDIDAS DE MALLA COLOR GRIS MARCA MATEST</v>
          </cell>
          <cell r="D86" t="str">
            <v>Regular</v>
          </cell>
        </row>
        <row r="87">
          <cell r="B87" t="str">
            <v>4-05525</v>
          </cell>
          <cell r="C87" t="str">
            <v>JUEGO DE TAMIZ 8' DE 13 PIEZAS DIFERENTES MEDIDAS DE MALLA COLOR GRIS MARCA MATEST</v>
          </cell>
          <cell r="D87" t="str">
            <v>Regular</v>
          </cell>
        </row>
        <row r="88">
          <cell r="B88" t="str">
            <v>4-05524</v>
          </cell>
          <cell r="C88" t="str">
            <v>JUEGO DE TAMIZ 8' DE 13 PIEZAS DIFERENTES MEDIDAS DE MALLA COLOR GRIS MARCA MATEST</v>
          </cell>
          <cell r="D88" t="str">
            <v>Regular</v>
          </cell>
        </row>
        <row r="89">
          <cell r="B89" t="str">
            <v>4-05523</v>
          </cell>
          <cell r="C89" t="str">
            <v>JUEGO DE TAMIZ 8' DE 13 PIEZAS DIFERENTES MEDIDAS DE MALLA COLOR GRIS MARCA MATEST</v>
          </cell>
          <cell r="D89" t="str">
            <v>Regular</v>
          </cell>
        </row>
        <row r="90">
          <cell r="B90" t="str">
            <v>4-05522</v>
          </cell>
          <cell r="C90" t="str">
            <v>JUEGO DE TAMIZ 8' DE 13 PIEZAS DIFERENTES MEDIDAS DE MALLA COLOR GRIS MARCA MATEST</v>
          </cell>
          <cell r="D90" t="str">
            <v>Regular</v>
          </cell>
        </row>
        <row r="91">
          <cell r="B91" t="str">
            <v>4-05521</v>
          </cell>
          <cell r="C91" t="str">
            <v>JUEGO DE TAMIZ 8' DE 13 PIEZAS DIFERENTES MEDIDAS DE MALLA COLOR GRIS MARCA MATEST</v>
          </cell>
          <cell r="D91" t="str">
            <v>Regular</v>
          </cell>
        </row>
        <row r="92">
          <cell r="B92" t="str">
            <v>4-05520</v>
          </cell>
          <cell r="C92" t="str">
            <v>JUEGO DE TAMIZ 8' DE 13 PIEZAS DIFERENTES MEDIDAS DE MALLA COLOR GRIS MARCA MATEST</v>
          </cell>
          <cell r="D92" t="str">
            <v>Regular</v>
          </cell>
        </row>
        <row r="93">
          <cell r="B93" t="str">
            <v>4-05518</v>
          </cell>
          <cell r="C93" t="str">
            <v>JUEGO DE TAMIZ 8' DE 13 PIEZAS DIFERENTES MEDIDAS DE MALLA COLOR GRIS MARCA MATEST</v>
          </cell>
          <cell r="D93" t="str">
            <v>Regular</v>
          </cell>
        </row>
        <row r="94">
          <cell r="B94" t="str">
            <v>4-05517</v>
          </cell>
          <cell r="C94" t="str">
            <v>JUEGO DE TAMIZ 8' DE 13 PIEZAS DIFERENTES MEDIDAS DE MALLA COLOR GRIS MARCA MATEST</v>
          </cell>
          <cell r="D94" t="str">
            <v>Regular</v>
          </cell>
        </row>
        <row r="95">
          <cell r="B95" t="str">
            <v>4-05516</v>
          </cell>
          <cell r="C95" t="str">
            <v>JUEGO DE TAMIZ 8' DE 13 PIEZAS DIFERENTES MEDIDAS DE MALLA COLOR GRIS MARCA MATEST</v>
          </cell>
          <cell r="D95" t="str">
            <v>Regular</v>
          </cell>
        </row>
        <row r="96">
          <cell r="B96" t="str">
            <v>4-05515</v>
          </cell>
          <cell r="C96" t="str">
            <v>JUEGO DE TAMIZ 8' DE 13 PIEZAS DIFERENTES MEDIDAS DE MALLA COLOR GRIS MARCA MATEST</v>
          </cell>
          <cell r="D96" t="str">
            <v>Regular</v>
          </cell>
        </row>
        <row r="97">
          <cell r="B97" t="str">
            <v>4-05514</v>
          </cell>
          <cell r="C97" t="str">
            <v>JUEGO DE TAMIZ 8' DE 13 PIEZAS DIFERENTES MEDIDAS DE MALLA COLOR GRIS MARCA MATEST</v>
          </cell>
          <cell r="D97" t="str">
            <v>Regular</v>
          </cell>
        </row>
        <row r="98">
          <cell r="B98" t="str">
            <v>4-05513</v>
          </cell>
          <cell r="C98" t="str">
            <v>JUEGO DE TAMIZ 8' DE 13 PIEZAS DIFERENTES MEDIDAS DE MALLA COLOR GRIS MARCA MATEST</v>
          </cell>
          <cell r="D98" t="str">
            <v>Regular</v>
          </cell>
        </row>
        <row r="99">
          <cell r="B99" t="str">
            <v>4-05512</v>
          </cell>
          <cell r="C99" t="str">
            <v>JUEGO DE TAMIZ 8' DE 13 PIEZAS DIFERENTES MEDIDAS DE MALLA COLOR GRIS MARCA MATEST</v>
          </cell>
          <cell r="D99" t="str">
            <v>Regular</v>
          </cell>
        </row>
        <row r="100">
          <cell r="B100" t="str">
            <v>4-05511</v>
          </cell>
          <cell r="C100" t="str">
            <v>JUEGO DE TAMIZ 8' DE 13 PIEZAS DIFERENTES MEDIDAS DE MALLA COLOR GRIS MARCA MATEST</v>
          </cell>
          <cell r="D100" t="str">
            <v>Regular</v>
          </cell>
        </row>
        <row r="101">
          <cell r="B101" t="str">
            <v>4-05510</v>
          </cell>
          <cell r="C101" t="str">
            <v>JUEGO DE TAMIZ 8' DE 13 PIEZAS DIFERENTES MEDIDAS DE MALLA COLOR GRIS MARCA MATEST</v>
          </cell>
          <cell r="D101" t="str">
            <v>Regular</v>
          </cell>
        </row>
        <row r="102">
          <cell r="B102" t="str">
            <v>4-05509</v>
          </cell>
          <cell r="C102" t="str">
            <v>JUEGO DE TAMIZ 8' DE 13 PIEZAS DIFERENTES MEDIDAS DE MALLA COLOR GRIS MARCA MATEST</v>
          </cell>
          <cell r="D102" t="str">
            <v>Regular</v>
          </cell>
        </row>
        <row r="103">
          <cell r="B103" t="str">
            <v>4-05508</v>
          </cell>
          <cell r="C103" t="str">
            <v>JUEGO DE TAMIZ 8' DE 13 PIEZAS DIFERENTES MEDIDAS DE MALLA COLOR GRIS MARCA MATEST</v>
          </cell>
          <cell r="D103" t="str">
            <v>Regular</v>
          </cell>
        </row>
        <row r="104">
          <cell r="B104" t="str">
            <v>4-05507</v>
          </cell>
          <cell r="C104" t="str">
            <v>JUEGO DE TAMIZ 8' DE 13 PIEZAS DIFERENTES MEDIDAS DE MALLA COLOR GRIS MARCA MATEST</v>
          </cell>
          <cell r="D104" t="str">
            <v>Regular</v>
          </cell>
        </row>
        <row r="105">
          <cell r="B105">
            <v>5513</v>
          </cell>
          <cell r="C105" t="str">
            <v>FONDO CON TAPA DE TAMIZ DE 8' DIAM. COLOR COBRE METALICO</v>
          </cell>
          <cell r="D105" t="str">
            <v>Regular</v>
          </cell>
        </row>
        <row r="106">
          <cell r="B106" t="str">
            <v>4-05480</v>
          </cell>
          <cell r="C106" t="str">
            <v>TAMICES CERTIFICADOS EN BRONCE DE 8' DIAM.40BB8F425940</v>
          </cell>
          <cell r="D106" t="str">
            <v>Regular</v>
          </cell>
        </row>
        <row r="107">
          <cell r="B107" t="str">
            <v>4-05476</v>
          </cell>
          <cell r="C107" t="str">
            <v>TAMICES CERTIFICADOS EN BRONCE DE 8' DIAM. 8BB8F49735</v>
          </cell>
          <cell r="D107" t="str">
            <v>Regular</v>
          </cell>
        </row>
        <row r="108">
          <cell r="B108" t="str">
            <v>4-05459</v>
          </cell>
          <cell r="C108" t="str">
            <v>TAMICES CERTIFICADOS EN BRONCE DE 8' DIAM. 8BB8F429743</v>
          </cell>
          <cell r="D108" t="str">
            <v>Regular</v>
          </cell>
        </row>
        <row r="109">
          <cell r="B109" t="str">
            <v>4-05481</v>
          </cell>
          <cell r="C109" t="str">
            <v>TAMICES CERTIFICADOS EN BRONCE DE 8' DIAM. 50BB8F426799</v>
          </cell>
          <cell r="D109" t="str">
            <v>Regular</v>
          </cell>
        </row>
        <row r="110">
          <cell r="B110" t="str">
            <v>4-05464</v>
          </cell>
          <cell r="C110" t="str">
            <v>TAMICES CERTIFICADOS EN BRONCE DE 8' DIAM. 50BB8F426798</v>
          </cell>
          <cell r="D110" t="str">
            <v>Regular</v>
          </cell>
        </row>
        <row r="111">
          <cell r="B111" t="str">
            <v>4-05458</v>
          </cell>
          <cell r="C111" t="str">
            <v>TAMICES CERTIFICADOS EN BRONCE DE 8' DIAM. 4BS8F430019</v>
          </cell>
          <cell r="D111" t="str">
            <v>Regular</v>
          </cell>
        </row>
        <row r="112">
          <cell r="B112" t="str">
            <v>4-05495</v>
          </cell>
          <cell r="C112" t="str">
            <v>TAMICES CERTIFICADOS EN BRONCE DE 8' DIAM. 4BB8F430020</v>
          </cell>
          <cell r="D112" t="str">
            <v>Regular</v>
          </cell>
        </row>
        <row r="113">
          <cell r="B113" t="str">
            <v>4-05463</v>
          </cell>
          <cell r="C113" t="str">
            <v>TAMICES CERTIFICADOS EN BRONCE DE 8' DIAM. 40BB8F425939</v>
          </cell>
          <cell r="D113" t="str">
            <v>Regular</v>
          </cell>
        </row>
        <row r="114">
          <cell r="B114" t="str">
            <v>4-05449</v>
          </cell>
          <cell r="C114" t="str">
            <v>TAMICES CERTIFICADOS EN BRONCE DE 8' DIAM. 3BS8F427369</v>
          </cell>
          <cell r="D114" t="str">
            <v>Regular</v>
          </cell>
        </row>
        <row r="115">
          <cell r="B115" t="str">
            <v>4-05466</v>
          </cell>
          <cell r="C115" t="str">
            <v>TAMICES CERTIFICADOS EN BRONCE DE 8' DIAM. 3BS8F427368</v>
          </cell>
          <cell r="D115" t="str">
            <v>Regular</v>
          </cell>
        </row>
        <row r="116">
          <cell r="B116" t="str">
            <v>4-05479</v>
          </cell>
          <cell r="C116" t="str">
            <v>TAMICES CERTIFICADOS EN BRONCE DE 8' DIAM. 30BB8F430490</v>
          </cell>
          <cell r="D116" t="str">
            <v>Regular</v>
          </cell>
        </row>
        <row r="117">
          <cell r="B117" t="str">
            <v>4-05462</v>
          </cell>
          <cell r="C117" t="str">
            <v>TAMICES CERTIFICADOS EN BRONCE DE 8' DIAM. 30BB8F430487</v>
          </cell>
          <cell r="D117" t="str">
            <v>Regular</v>
          </cell>
        </row>
        <row r="118">
          <cell r="B118" t="str">
            <v>4-05475</v>
          </cell>
          <cell r="C118" t="str">
            <v>TAMICES CERTIFICADOS EN BRONCE DE 8' DIAM. 3/8 BS8F429154</v>
          </cell>
          <cell r="D118" t="str">
            <v>Regular</v>
          </cell>
        </row>
        <row r="119">
          <cell r="B119" t="str">
            <v>4-05473</v>
          </cell>
          <cell r="C119" t="str">
            <v>TAMICES CERTIFICADOS EN BRONCE DE 8' DIAM. 3/8 B58F429155</v>
          </cell>
          <cell r="D119" t="str">
            <v>Regular</v>
          </cell>
        </row>
        <row r="120">
          <cell r="B120" t="str">
            <v>4-05471</v>
          </cell>
          <cell r="C120" t="str">
            <v>TAMICES CERTIFICADOS EN BRONCE DE 8' DIAM. 3/4 BS8F430182</v>
          </cell>
          <cell r="D120" t="str">
            <v>Regular</v>
          </cell>
        </row>
        <row r="121">
          <cell r="B121" t="str">
            <v>4-05454</v>
          </cell>
          <cell r="C121" t="str">
            <v>TAMICES CERTIFICADOS EN BRONCE DE 8' DIAM. 3/4 B58F430181</v>
          </cell>
          <cell r="D121" t="str">
            <v>Regular</v>
          </cell>
        </row>
        <row r="122">
          <cell r="B122" t="str">
            <v>4-05468</v>
          </cell>
          <cell r="C122" t="str">
            <v>TAMICES CERTIFICADOS EN BRONCE DE 8' DIAM. 2BS 8F428164</v>
          </cell>
          <cell r="D122" t="str">
            <v>Regular</v>
          </cell>
        </row>
        <row r="123">
          <cell r="B123" t="str">
            <v>4-05450</v>
          </cell>
          <cell r="C123" t="str">
            <v>TAMICES CERTIFICADOS EN BRONCE DE 8' DIAM. 2.5 BS8F423535</v>
          </cell>
          <cell r="D123" t="str">
            <v>Regular</v>
          </cell>
        </row>
        <row r="124">
          <cell r="B124" t="str">
            <v>4-05467</v>
          </cell>
          <cell r="C124" t="str">
            <v>TAMICES CERTIFICADOS EN BRONCE DE 8' DIAM. 2.5 BS8F411643</v>
          </cell>
          <cell r="D124" t="str">
            <v>Regular</v>
          </cell>
        </row>
        <row r="125">
          <cell r="B125" t="str">
            <v>4-05451</v>
          </cell>
          <cell r="C125" t="str">
            <v>TAMICES CERTIFICADOS EN BRONCE DE 8' DIAM. 2 BS8F428165</v>
          </cell>
          <cell r="D125" t="str">
            <v>Regular</v>
          </cell>
        </row>
        <row r="126">
          <cell r="B126" t="str">
            <v>4-05461</v>
          </cell>
          <cell r="C126" t="str">
            <v>TAMICES CERTIFICADOS EN BRONCE DE 8' DIAM. 16BB8F426958</v>
          </cell>
          <cell r="D126" t="str">
            <v>Regular</v>
          </cell>
        </row>
        <row r="127">
          <cell r="B127" t="str">
            <v>4-05478</v>
          </cell>
          <cell r="C127" t="str">
            <v>TAMICES CERTIFICADOS EN BRONCE DE 8' DIAM. 16BB8F426956</v>
          </cell>
          <cell r="D127" t="str">
            <v>Regular</v>
          </cell>
        </row>
        <row r="128">
          <cell r="B128" t="str">
            <v>4-05477</v>
          </cell>
          <cell r="C128" t="str">
            <v>TAMICES CERTIFICADOS EN BRONCE DE 8' DIAM. 10BB8F426977</v>
          </cell>
          <cell r="D128" t="str">
            <v>Regular</v>
          </cell>
        </row>
        <row r="129">
          <cell r="B129" t="str">
            <v>4-05460</v>
          </cell>
          <cell r="C129" t="str">
            <v>TAMICES CERTIFICADOS EN BRONCE DE 8' DIAM. 10BB8F426973</v>
          </cell>
          <cell r="D129" t="str">
            <v>Regular</v>
          </cell>
        </row>
        <row r="130">
          <cell r="B130" t="str">
            <v>4-05482</v>
          </cell>
          <cell r="C130" t="str">
            <v>TAMICES CERTIFICADOS EN BRONCE DE 8' DIAM. 100BB8F430750</v>
          </cell>
          <cell r="D130" t="str">
            <v>Regular</v>
          </cell>
        </row>
        <row r="131">
          <cell r="B131" t="str">
            <v>4-05465</v>
          </cell>
          <cell r="C131" t="str">
            <v>TAMICES CERTIFICADOS EN BRONCE DE 8' DIAM. 100BB8F430749</v>
          </cell>
          <cell r="D131" t="str">
            <v>Regular</v>
          </cell>
        </row>
        <row r="132">
          <cell r="B132" t="str">
            <v>4-05474</v>
          </cell>
          <cell r="C132" t="str">
            <v>TAMICES CERTIFICADOS EN BRONCE DE 8' DIAM. 1/4B58F422617</v>
          </cell>
          <cell r="D132" t="str">
            <v>Regular</v>
          </cell>
        </row>
        <row r="133">
          <cell r="B133" t="str">
            <v>4-05457</v>
          </cell>
          <cell r="C133" t="str">
            <v>TAMICES CERTIFICADOS EN BRONCE DE 8' DIAM. 1/4 BS8F422618</v>
          </cell>
          <cell r="D133" t="str">
            <v>Regular</v>
          </cell>
        </row>
        <row r="134">
          <cell r="B134" t="str">
            <v>4-05472</v>
          </cell>
          <cell r="C134" t="str">
            <v>TAMICES CERTIFICADOS EN BRONCE DE 8' DIAM. 1/2 BS8F430332</v>
          </cell>
          <cell r="D134" t="str">
            <v>Regular</v>
          </cell>
        </row>
        <row r="135">
          <cell r="B135" t="str">
            <v>4-05455</v>
          </cell>
          <cell r="C135" t="str">
            <v>TAMICES CERTIFICADOS EN BRONCE DE 8' DIAM. 1/2 B58F430333</v>
          </cell>
          <cell r="D135" t="str">
            <v>Regular</v>
          </cell>
        </row>
        <row r="136">
          <cell r="B136" t="str">
            <v>4-05469</v>
          </cell>
          <cell r="C136" t="str">
            <v>TAMICES CERTIFICADOS EN BRONCE DE 8' DIAM. 1.5BS8F427525</v>
          </cell>
          <cell r="D136" t="str">
            <v>Regular</v>
          </cell>
        </row>
        <row r="137">
          <cell r="B137" t="str">
            <v>4-05452</v>
          </cell>
          <cell r="C137" t="str">
            <v>TAMICES CERTIFICADOS EN BRONCE DE 8' DIAM. 1.5 BS8F427526</v>
          </cell>
          <cell r="D137" t="str">
            <v>Regular</v>
          </cell>
        </row>
        <row r="138">
          <cell r="B138" t="str">
            <v>4-05453</v>
          </cell>
          <cell r="C138" t="str">
            <v>TAMICES CERTIFICADOS EN BRONCE DE 8' DIAM. 1.00 BS8F427517</v>
          </cell>
          <cell r="D138" t="str">
            <v>Regular</v>
          </cell>
        </row>
        <row r="139">
          <cell r="B139" t="str">
            <v>4-05470</v>
          </cell>
          <cell r="C139" t="str">
            <v>TAMICES CERTIFICADOS EN BRONCE DE 8' DIAM. 1.00 B58F427521</v>
          </cell>
          <cell r="D139" t="str">
            <v>Regular</v>
          </cell>
        </row>
        <row r="140">
          <cell r="B140" t="str">
            <v>4-05505</v>
          </cell>
          <cell r="C140" t="str">
            <v>TAMIZ PARA ASFALTO DE ACERO INOXIDABLE DE 8'</v>
          </cell>
          <cell r="D140" t="str">
            <v>Regular</v>
          </cell>
        </row>
        <row r="141">
          <cell r="B141" t="str">
            <v>4-05504</v>
          </cell>
          <cell r="C141" t="str">
            <v>TAMIZ PARA ASFALTO DE ACERO INOXIDABLE DE 8'</v>
          </cell>
          <cell r="D141" t="str">
            <v>Regular</v>
          </cell>
        </row>
        <row r="142">
          <cell r="B142" t="str">
            <v>4-05503</v>
          </cell>
          <cell r="C142" t="str">
            <v>TAMIZ PARA ASFALTO DE ACERO INOXIDABLE DE 8'</v>
          </cell>
          <cell r="D142" t="str">
            <v>Regular</v>
          </cell>
        </row>
        <row r="143">
          <cell r="B143" t="str">
            <v>4-05502</v>
          </cell>
          <cell r="C143" t="str">
            <v>TAMIZ PARA ASFALTO DE ACERO INOXIDABLE DE 8'</v>
          </cell>
          <cell r="D143" t="str">
            <v>Regular</v>
          </cell>
        </row>
        <row r="144">
          <cell r="B144" t="str">
            <v>4-05534</v>
          </cell>
          <cell r="C144" t="str">
            <v>TAMIZ PARA SUELO</v>
          </cell>
          <cell r="D144" t="str">
            <v>Regular</v>
          </cell>
        </row>
        <row r="145">
          <cell r="B145" t="str">
            <v>4-05533</v>
          </cell>
          <cell r="C145" t="str">
            <v>TAMIZ PARA SUELO</v>
          </cell>
          <cell r="D145" t="str">
            <v>Regular</v>
          </cell>
        </row>
        <row r="146">
          <cell r="B146" t="str">
            <v>4-05499</v>
          </cell>
          <cell r="C146" t="str">
            <v>TAMIZ PARA SUELO</v>
          </cell>
          <cell r="D146" t="str">
            <v>Regular</v>
          </cell>
        </row>
        <row r="147">
          <cell r="B147" t="str">
            <v>4-05493</v>
          </cell>
          <cell r="C147" t="str">
            <v>TAMIZ PARA SUELO</v>
          </cell>
          <cell r="D147" t="str">
            <v>Regular</v>
          </cell>
        </row>
        <row r="148">
          <cell r="B148" t="str">
            <v>4-05492</v>
          </cell>
          <cell r="C148" t="str">
            <v>TAMIZ PARA SUELO</v>
          </cell>
          <cell r="D148" t="str">
            <v>Regular</v>
          </cell>
        </row>
        <row r="149">
          <cell r="B149" t="str">
            <v>4-05491</v>
          </cell>
          <cell r="C149" t="str">
            <v>TAMIZ PARA SUELO</v>
          </cell>
          <cell r="D149" t="str">
            <v>Regular</v>
          </cell>
        </row>
        <row r="150">
          <cell r="B150" t="str">
            <v>4-05490</v>
          </cell>
          <cell r="C150" t="str">
            <v>TAMIZ PARA SUELO</v>
          </cell>
          <cell r="D150" t="str">
            <v>Regular</v>
          </cell>
        </row>
        <row r="151">
          <cell r="B151" t="str">
            <v>4-05489</v>
          </cell>
          <cell r="C151" t="str">
            <v>TAMIZ PARA SUELO</v>
          </cell>
          <cell r="D151" t="str">
            <v>Regular</v>
          </cell>
        </row>
        <row r="152">
          <cell r="B152" t="str">
            <v>4-05488</v>
          </cell>
          <cell r="C152" t="str">
            <v>TAMIZ PARA SUELO</v>
          </cell>
          <cell r="D152" t="str">
            <v>Regular</v>
          </cell>
        </row>
        <row r="153">
          <cell r="B153" t="str">
            <v>4-05486</v>
          </cell>
          <cell r="C153" t="str">
            <v>TAMIZ PARA SUELO</v>
          </cell>
          <cell r="D153" t="str">
            <v>Regular</v>
          </cell>
        </row>
        <row r="154">
          <cell r="B154" t="str">
            <v>4-05485</v>
          </cell>
          <cell r="C154" t="str">
            <v>TAMIZ PARA SUELO</v>
          </cell>
          <cell r="D154" t="str">
            <v>Regular</v>
          </cell>
        </row>
        <row r="155">
          <cell r="B155" t="str">
            <v>4-05484</v>
          </cell>
          <cell r="C155" t="str">
            <v>TAMIZ PARA SUELO</v>
          </cell>
          <cell r="D155" t="str">
            <v>Regular</v>
          </cell>
        </row>
        <row r="156">
          <cell r="B156" t="str">
            <v>4-05483</v>
          </cell>
          <cell r="C156" t="str">
            <v>TAMIZ PARA SUELO</v>
          </cell>
          <cell r="D156" t="str">
            <v>Regular</v>
          </cell>
        </row>
        <row r="157">
          <cell r="B157" t="str">
            <v>4-05497</v>
          </cell>
          <cell r="C157" t="str">
            <v>TAMIS DE ACERO INOXIDABLE DE 8DE DIAMETRO DE CONFORMIDAD A LA NORMA ASTME-11</v>
          </cell>
          <cell r="D157" t="str">
            <v>Regular</v>
          </cell>
        </row>
        <row r="158">
          <cell r="B158" t="str">
            <v>4-05501</v>
          </cell>
          <cell r="C158" t="str">
            <v>TAMIS EN ACERO INOXIDABLE DE 8DE DIAMETRO MALLA N¬ 200 MARCA TAMIEQUIPO</v>
          </cell>
          <cell r="D158" t="str">
            <v>Regular</v>
          </cell>
        </row>
        <row r="159">
          <cell r="B159" t="str">
            <v>4-05500</v>
          </cell>
          <cell r="C159" t="str">
            <v>TAMIZ PARA SUELO MALLA FINA</v>
          </cell>
          <cell r="D159" t="str">
            <v>Regular</v>
          </cell>
        </row>
        <row r="160">
          <cell r="B160" t="str">
            <v>4-05494</v>
          </cell>
          <cell r="C160" t="str">
            <v>TAMIZ PARA SUELO MALLA FINA</v>
          </cell>
          <cell r="D160" t="str">
            <v>Regular</v>
          </cell>
        </row>
        <row r="161">
          <cell r="B161" t="str">
            <v>4-05532</v>
          </cell>
          <cell r="C161" t="str">
            <v>TAMIZ PARA LAVADO DE 8' DIAM. NO 200, OPENINA 0029</v>
          </cell>
          <cell r="D161" t="str">
            <v>Regular</v>
          </cell>
        </row>
        <row r="162">
          <cell r="B162" t="str">
            <v>4-05519</v>
          </cell>
          <cell r="C162" t="str">
            <v>JUEGO DE TAMIZ 8' DE 13 PIEZAS DIFERENTES MEDIDAS DE MALLA COLOR GRIS MARCA MATEST</v>
          </cell>
          <cell r="D162" t="str">
            <v>Regular</v>
          </cell>
        </row>
        <row r="163">
          <cell r="B163" t="str">
            <v>4-05506</v>
          </cell>
          <cell r="C163" t="str">
            <v>JUEGO DE TAMIZ 8' DE 13 PIEZAS DIFERENTES MEDIDAS DE MALLA COLOR GRIS MARCA MATEST</v>
          </cell>
          <cell r="D163" t="str">
            <v>Regular</v>
          </cell>
        </row>
        <row r="164">
          <cell r="B164" t="str">
            <v>4-011322</v>
          </cell>
          <cell r="C164" t="str">
            <v>TAMICES PARA SUELOS MARCA MATEST MODELO A050-KIT PROCEDENCIA DE ITALIA SERIE A050-02/BC/0006</v>
          </cell>
          <cell r="D164" t="str">
            <v>Regular</v>
          </cell>
        </row>
        <row r="165">
          <cell r="B165" t="str">
            <v>4-011321</v>
          </cell>
          <cell r="C165" t="str">
            <v>TAMICES PARA SUELOS MARCA MATEST MODELO A050-KIT PROCEDENCIA DE ITALIA SERIE A050-02/BC/0005</v>
          </cell>
          <cell r="D165" t="str">
            <v>Regular</v>
          </cell>
        </row>
        <row r="166">
          <cell r="B166" t="str">
            <v>4-011320</v>
          </cell>
          <cell r="C166" t="str">
            <v>TAMICES PARA SUELOS MARCA MATEST MODELO A050-KIT PROCEDENCIA DE ITALIA SERIE A050-02/BC/0004</v>
          </cell>
          <cell r="D166" t="str">
            <v>Regular</v>
          </cell>
        </row>
        <row r="167">
          <cell r="B167" t="str">
            <v>4-11504</v>
          </cell>
          <cell r="C167" t="str">
            <v>TAMICES MARCA MATEST MODELO A050 KIT NUMERO DE SERIE A050-KIT/BA/00035 PROCEDENCIA ITALIA</v>
          </cell>
          <cell r="D167" t="str">
            <v>Regular</v>
          </cell>
        </row>
        <row r="168">
          <cell r="B168" t="str">
            <v>4-11505</v>
          </cell>
          <cell r="C168" t="str">
            <v>TAMICES MARCA MATEST MODELO A050 KIT NUMERO DE SERIE A050-KIT/BA/00034 PROCEDENCIA ITALIA</v>
          </cell>
          <cell r="D168" t="str">
            <v>Regular</v>
          </cell>
        </row>
        <row r="169">
          <cell r="B169" t="str">
            <v>4-11503</v>
          </cell>
          <cell r="C169" t="str">
            <v>TAMICES MARCA MATEST MODELO A050 KIT NUMERO DE SERIE A050-KIT/BA/00033 PROCEDENCIA ITALIA</v>
          </cell>
          <cell r="D169" t="str">
            <v>Regular</v>
          </cell>
        </row>
        <row r="170">
          <cell r="B170" t="str">
            <v>4-07104</v>
          </cell>
          <cell r="C170" t="str">
            <v>HORMIGONERA TIPO TAMBOR, MARCA MATEST, MODELO C161, PROCEDENCIA ITALIA, CANTIDAD DE PIEZAS 1, COLOR NARANJA</v>
          </cell>
          <cell r="D170" t="str">
            <v>Regular</v>
          </cell>
        </row>
        <row r="171">
          <cell r="B171" t="str">
            <v>4-05537</v>
          </cell>
          <cell r="C171" t="str">
            <v>CAMARAS IP CMP DOMO; MARCA: DAHUA; MODELO: DH-IPC-HDW4300SN; S/N; G036E6PAX00038</v>
          </cell>
          <cell r="D171" t="str">
            <v>Regular</v>
          </cell>
        </row>
        <row r="172">
          <cell r="B172" t="str">
            <v>4-05538</v>
          </cell>
          <cell r="C172" t="str">
            <v>CAMARAS IP CMP DOMO; MARCA: DAHUA; MODELO: DH-IPC-HDW4300SN; S/N; 1G036E6PAX00186</v>
          </cell>
          <cell r="D172" t="str">
            <v>Regular</v>
          </cell>
        </row>
        <row r="173">
          <cell r="B173" t="str">
            <v>4-05631</v>
          </cell>
          <cell r="C173" t="str">
            <v>EQUIPO PARA DENSIDADES, CONO METALICO DE COBRE , BOTE PLASTICO</v>
          </cell>
          <cell r="D173" t="str">
            <v>Regular</v>
          </cell>
        </row>
        <row r="174">
          <cell r="B174" t="str">
            <v>4-011315</v>
          </cell>
          <cell r="C174" t="str">
            <v>DENSITOMETRO DE MEMBRANA MARCA MATEST MODELO S230 KIT PROCEDENCIA ITALIA SERIE S230KIT/BC/0004</v>
          </cell>
          <cell r="D174" t="str">
            <v>Regular</v>
          </cell>
        </row>
        <row r="175">
          <cell r="B175" t="str">
            <v>4-11513</v>
          </cell>
          <cell r="C175" t="str">
            <v>MAQUINA DE PERFORACION MARCA MATEST MODELO C322 NUMERO DE SERIE C322/BB/0032 PROCEDENCIA ITALIA</v>
          </cell>
          <cell r="D175" t="str">
            <v>Regular</v>
          </cell>
        </row>
        <row r="176">
          <cell r="B176" t="str">
            <v>4-05442</v>
          </cell>
          <cell r="C176" t="str">
            <v>PRENSA DE ENSAYO DE CORTE DIRECTO INCLUYE 2 ESAS DE 8KG;4 PESAS DE 4 KG; 4 PESAS DE 1KG</v>
          </cell>
          <cell r="D176" t="str">
            <v>Regular</v>
          </cell>
        </row>
        <row r="177">
          <cell r="B177" t="str">
            <v>4-05439A</v>
          </cell>
          <cell r="C177" t="str">
            <v>PRENSA PARA ENSAYO CBR MANUAL CON ANILLO DE CARGA (H4156)</v>
          </cell>
          <cell r="D177" t="str">
            <v>Regular</v>
          </cell>
        </row>
        <row r="178">
          <cell r="B178">
            <v>8739</v>
          </cell>
          <cell r="C178" t="str">
            <v>MARTINETE DE 63,5 KG, PARADA DE CABEZA DE 4' DE DIAMTRO, 3,00 MTS DE CADENA DE 1/2' CON SUS RESPECTIVOS GRILLETES, SOPORTES DE SOGAS DE 3/4'</v>
          </cell>
          <cell r="D178" t="str">
            <v>Regular</v>
          </cell>
        </row>
        <row r="179">
          <cell r="B179" t="str">
            <v>4-11515</v>
          </cell>
          <cell r="C179" t="str">
            <v>PANDEO DE EULER MARCA GUNT MODELO WP121 NUMERO DE SERIE 236896 PROCEDENCIA ALEMANIA</v>
          </cell>
          <cell r="D179" t="str">
            <v>Regular</v>
          </cell>
        </row>
        <row r="180">
          <cell r="B180" t="str">
            <v>4-05441</v>
          </cell>
          <cell r="C180" t="str">
            <v>BALANZA MECANICA TRIPLE BRAZO 2610 G</v>
          </cell>
          <cell r="D180" t="str">
            <v>Malo</v>
          </cell>
        </row>
        <row r="181">
          <cell r="B181" t="str">
            <v>4-05444</v>
          </cell>
          <cell r="C181" t="str">
            <v>BALANZA ELECTRONICA DE 1 KG C/SISTEMA 232 SERIE WD150010571</v>
          </cell>
          <cell r="D181" t="str">
            <v>Regular</v>
          </cell>
        </row>
        <row r="182">
          <cell r="B182" t="str">
            <v>4-05443</v>
          </cell>
          <cell r="C182" t="str">
            <v>BALANZA ELECTRONICA DE 6 KG C/ SISTEMA 232 SERIE: WD150022344</v>
          </cell>
          <cell r="D182" t="str">
            <v>Regular</v>
          </cell>
        </row>
        <row r="183">
          <cell r="B183" t="str">
            <v>4-09817</v>
          </cell>
          <cell r="C183" t="str">
            <v>BALANZA ELECTRONICA MARCA OAHUS MODELO 31P30 SERIEN¬ 8341535076 CAP. DE 30KG CON BANDEJA DE 30CMX22.5CM</v>
          </cell>
          <cell r="D183" t="str">
            <v>Regular</v>
          </cell>
        </row>
        <row r="184">
          <cell r="B184" t="str">
            <v>4-05445</v>
          </cell>
          <cell r="C184" t="str">
            <v>BALANZA ELECTRONICA DE 30 KG SERIE: WD140112720</v>
          </cell>
          <cell r="D184" t="str">
            <v>Regular</v>
          </cell>
        </row>
        <row r="185">
          <cell r="B185" t="str">
            <v>4-08788</v>
          </cell>
          <cell r="C185" t="str">
            <v>PRENSA PARA CBR MARCHALL NO CONFINADAS MARCA MATEST MOD. S215PA132 PESO 140 KG PODER DE 750W AMP 3 ACCESORIOS</v>
          </cell>
          <cell r="D185" t="str">
            <v>Regular</v>
          </cell>
        </row>
        <row r="186">
          <cell r="B186" t="str">
            <v>4-08786</v>
          </cell>
          <cell r="C186" t="str">
            <v>PRENSA PARA COMPRESION FLEXION ALTA EFICIENCIA MARCA MATEST MOD. CO89PN885 DE 2000 KN LUZ TOTAL DEL BASTIDOR 53,5 CM DE 25 CM.</v>
          </cell>
          <cell r="D186" t="str">
            <v>Regular</v>
          </cell>
        </row>
        <row r="187">
          <cell r="B187">
            <v>8755</v>
          </cell>
          <cell r="C187" t="str">
            <v>BARRA DE SONDEO,DIMENSIONES BAJO NORMA ASTM D-1586, 25 METROS LINEALES</v>
          </cell>
          <cell r="D187" t="str">
            <v>Regular</v>
          </cell>
        </row>
        <row r="188">
          <cell r="B188" t="str">
            <v>4-11498</v>
          </cell>
          <cell r="C188" t="str">
            <v>BASTIDOR PARA GRAVEDAD ESPECIFICA MARCA MATEST MODELO V085 NUMERO DE SERIE V085/BC/0098 PROCEDENCIA ITALIA</v>
          </cell>
          <cell r="D188" t="str">
            <v>Regular</v>
          </cell>
        </row>
        <row r="189">
          <cell r="B189" t="str">
            <v>4-08792</v>
          </cell>
          <cell r="C189" t="str">
            <v>BASTIDOR DE DENSIDAD RELATIVA MARCA MATEST MOD. V085 1 BALANZA ELECTRONICA DE 30 KG. 0,5GR. 1 CESTILLON DE 3,35 MM 1 SOPORTE PUENTE VARILLA DE G</v>
          </cell>
          <cell r="D189" t="str">
            <v>Regular</v>
          </cell>
        </row>
        <row r="190">
          <cell r="B190" t="str">
            <v>4-011319</v>
          </cell>
          <cell r="C190" t="str">
            <v>EQUIVALENTE DE ARENA MARCA MATEST MODELO S158 KIT PROCEDENCIA DE ITALIA SERIE S158-01/BA/00014</v>
          </cell>
          <cell r="D190" t="str">
            <v>Regular</v>
          </cell>
        </row>
        <row r="191">
          <cell r="B191" t="str">
            <v>4-011318</v>
          </cell>
          <cell r="C191" t="str">
            <v>EQUIVALENTE DE ARENA MARCA MATEST MODELO S158 KIT PROCEDENCIA DE ITALIA SERIE S158-01/BA/00013</v>
          </cell>
          <cell r="D191" t="str">
            <v>Regular</v>
          </cell>
        </row>
        <row r="192">
          <cell r="B192" t="str">
            <v>4-011317</v>
          </cell>
          <cell r="C192" t="str">
            <v>EQUIVALENTE DE ARENA MARCA MATEST MODELO S158 KIT PROCEDENCIA DE ITALIA SERIE S158-01/BA/00011</v>
          </cell>
          <cell r="D192" t="str">
            <v>Regular</v>
          </cell>
        </row>
        <row r="193">
          <cell r="B193" t="str">
            <v>4-011316</v>
          </cell>
          <cell r="C193" t="str">
            <v>EQUIVALENTE DE ARENA MARCA MATEST MODELO S158 KIT PROCEDENCIA DE ITALIA SERIE S158-01/BA/00010</v>
          </cell>
          <cell r="D193" t="str">
            <v>Regular</v>
          </cell>
        </row>
        <row r="194">
          <cell r="B194" t="str">
            <v>4-07103</v>
          </cell>
          <cell r="C194" t="str">
            <v>MOLDES PARA VIGAS DE ENSAYOS DE FELXION DE 15X15X60 MM, MARCA MATEST, MODELO C254-02, PROCEDENCIA ITALIA, CATIDAD DE PIEZAS 1, COLOR AZUL</v>
          </cell>
          <cell r="D194" t="str">
            <v>Regular</v>
          </cell>
        </row>
        <row r="195">
          <cell r="B195" t="str">
            <v>4-07102</v>
          </cell>
          <cell r="C195" t="str">
            <v>MOLDES PARA VIGAS DE ENSAYOS DE FELXION DE 15X15X60 MM, MARCA MATEST, MODELO C254-02, PROCEDENCIA ITALIA, CATIDAD DE PIEZAS 1, COLOR AZUL</v>
          </cell>
          <cell r="D195" t="str">
            <v>Regular</v>
          </cell>
        </row>
        <row r="196">
          <cell r="B196" t="str">
            <v>4-07101</v>
          </cell>
          <cell r="C196" t="str">
            <v>MOLDES PARA VIGAS DE ENSAYOS DE FELXION DE 15X15X60 MM, MARCA MATEST, MODELO C254-02, PROCEDENCIA ITALIA, CATIDAD DE PIEZAS 1, COLOR AZUL</v>
          </cell>
          <cell r="D196" t="str">
            <v>Regular</v>
          </cell>
        </row>
        <row r="197">
          <cell r="B197" t="str">
            <v>4-11517</v>
          </cell>
          <cell r="C197" t="str">
            <v>EQUIPO PARA RESISTIVIDAD DE SUELOS MARCA PASI MODELO RM1 NUMERO DE SERIE 22117 PROCEDENCIA ITALIA</v>
          </cell>
          <cell r="D197" t="str">
            <v>Regular</v>
          </cell>
        </row>
        <row r="198">
          <cell r="B198" t="str">
            <v>4-05576</v>
          </cell>
          <cell r="C198" t="str">
            <v>MOLDE DE PROBETAS DE ENSAYO A COMPRESION SIMPLE</v>
          </cell>
          <cell r="D198" t="str">
            <v>Regular</v>
          </cell>
        </row>
        <row r="199">
          <cell r="B199" t="str">
            <v>4-05575</v>
          </cell>
          <cell r="C199" t="str">
            <v>MOLDE DE PROBETAS DE ENSAYO A COMPRESION SIMPLE</v>
          </cell>
          <cell r="D199" t="str">
            <v>Regular</v>
          </cell>
        </row>
        <row r="200">
          <cell r="B200" t="str">
            <v>4-05574</v>
          </cell>
          <cell r="C200" t="str">
            <v>MOLDE DE PROBETAS DE ENSAYO A COMPRESION SIMPLE</v>
          </cell>
          <cell r="D200" t="str">
            <v>Regular</v>
          </cell>
        </row>
        <row r="201">
          <cell r="B201" t="str">
            <v>4-05573</v>
          </cell>
          <cell r="C201" t="str">
            <v>MOLDE DE PROBETAS DE ENSAYO A COMPRESION SIMPLE</v>
          </cell>
          <cell r="D201" t="str">
            <v>Regular</v>
          </cell>
        </row>
        <row r="202">
          <cell r="B202" t="str">
            <v>4-05572</v>
          </cell>
          <cell r="C202" t="str">
            <v>MOLDE DE PROBETAS DE ENSAYO A COMPRESION SIMPLE</v>
          </cell>
          <cell r="D202" t="str">
            <v>Regular</v>
          </cell>
        </row>
        <row r="203">
          <cell r="B203" t="str">
            <v>4-05571</v>
          </cell>
          <cell r="C203" t="str">
            <v>MOLDE DE PROBETAS DE ENSAYO A COMPRESION SIMPLE</v>
          </cell>
          <cell r="D203" t="str">
            <v>Regular</v>
          </cell>
        </row>
        <row r="204">
          <cell r="B204" t="str">
            <v>4-05570</v>
          </cell>
          <cell r="C204" t="str">
            <v>MOLDE DE PROBETAS DE ENSAYO A COMPRESION SIMPLE</v>
          </cell>
          <cell r="D204" t="str">
            <v>Regular</v>
          </cell>
        </row>
        <row r="205">
          <cell r="B205" t="str">
            <v>4-05569</v>
          </cell>
          <cell r="C205" t="str">
            <v>MOLDE DE PROBETAS DE ENSAYO A COMPRESION SIMPLE</v>
          </cell>
          <cell r="D205" t="str">
            <v>Regular</v>
          </cell>
        </row>
        <row r="206">
          <cell r="B206" t="str">
            <v>4-05568</v>
          </cell>
          <cell r="C206" t="str">
            <v>MOLDE DE PROBETAS DE ENSAYO A COMPRESION SIMPLE</v>
          </cell>
          <cell r="D206" t="str">
            <v>Regular</v>
          </cell>
        </row>
        <row r="207">
          <cell r="B207" t="str">
            <v>4-05567</v>
          </cell>
          <cell r="C207" t="str">
            <v>MOLDE DE PROBETAS DE ENSAYO A COMPRESION SIMPLE</v>
          </cell>
          <cell r="D207" t="str">
            <v>Regular</v>
          </cell>
        </row>
        <row r="208">
          <cell r="B208" t="str">
            <v>4-07110</v>
          </cell>
          <cell r="C208" t="str">
            <v>MOLDE DE ACERO PARA PROBETAS CILINDRICAS, MARCA MATEST, CODIGO DE REFERNCIA C258-02, PROCEDENCIA ITALIA, COLOR AZUL.</v>
          </cell>
          <cell r="D208" t="str">
            <v>Regular</v>
          </cell>
        </row>
        <row r="209">
          <cell r="B209" t="str">
            <v>4-07109</v>
          </cell>
          <cell r="C209" t="str">
            <v>MOLDE DE ACERO PARA PROBETAS CILINDRICAS, MARCA MATEST, CODIGO DE REFERNCIA C258-02, PROCEDENCIA ITALIA, COLOR AZUL.</v>
          </cell>
          <cell r="D209" t="str">
            <v>Regular</v>
          </cell>
        </row>
        <row r="210">
          <cell r="B210" t="str">
            <v>4-05589</v>
          </cell>
          <cell r="C210" t="str">
            <v>CONO DE ASENTAMIENTO SIUMP COBRE AGARRADORES LATERALES</v>
          </cell>
          <cell r="D210" t="str">
            <v>Regular</v>
          </cell>
        </row>
        <row r="211">
          <cell r="B211" t="str">
            <v>4-05496</v>
          </cell>
          <cell r="C211" t="str">
            <v>CONO DE ABSORCION CON PIZON, MOLDE EN BRONCE SUPERIOR DE 40MMX90MM DE BASE DE 75MM MARCA TAMIEQUIPOS</v>
          </cell>
          <cell r="D211" t="str">
            <v>Regular</v>
          </cell>
        </row>
        <row r="212">
          <cell r="B212" t="str">
            <v>4-05588</v>
          </cell>
          <cell r="C212" t="str">
            <v>CONO DE ASENTAMIENTO ABRAMS</v>
          </cell>
          <cell r="D212" t="str">
            <v>Regular</v>
          </cell>
        </row>
        <row r="213">
          <cell r="B213" t="str">
            <v>4-07112</v>
          </cell>
          <cell r="C213" t="str">
            <v>CONO DE ARENA DE 6 5 MAS EQUIPO DE CALIBRACION DE ARENA MARCA MATEST CODIGO DE REFERENCIA S234-KIT PROCEDENICA ITALIA</v>
          </cell>
          <cell r="D213" t="str">
            <v>Regular</v>
          </cell>
        </row>
        <row r="214">
          <cell r="B214" t="str">
            <v>4-07111</v>
          </cell>
          <cell r="C214" t="str">
            <v>CONO DE ARENA DE 6 5 MAS EQUIPO DE CALIBRACION DE ARENA MARCA MATEST CODIGO DE REFERENCIA S234-KIT PROCEDENICA ITALIA</v>
          </cell>
          <cell r="D214" t="str">
            <v>Regular</v>
          </cell>
        </row>
        <row r="215">
          <cell r="B215" t="str">
            <v>4-07098</v>
          </cell>
          <cell r="C215" t="str">
            <v>MUESTRADOR DE PARED DELGADA TUBO SHELBY, DIMENSIONE BAJO NORMA ASTM D-1586 PARA MUESTRAS INALTERADAS DE 3,00' DE DIAMETRO</v>
          </cell>
          <cell r="D215" t="str">
            <v>Regular</v>
          </cell>
        </row>
        <row r="216">
          <cell r="B216">
            <v>8737</v>
          </cell>
          <cell r="C216" t="str">
            <v>MUESTRADOR BI PARTIDO, DIMENSIONES BAJO NORMA ASTM D-1586 DE INDUSTRIA ESPA­OLA CON SU RESPECTIVA PUNTA DE LATA</v>
          </cell>
          <cell r="D216" t="str">
            <v>Regular</v>
          </cell>
        </row>
        <row r="217">
          <cell r="B217">
            <v>8457</v>
          </cell>
          <cell r="C217" t="str">
            <v>TRIPODE DE EXPANSION P/CBR</v>
          </cell>
          <cell r="D217" t="str">
            <v>Regular</v>
          </cell>
        </row>
        <row r="218">
          <cell r="B218">
            <v>7001</v>
          </cell>
          <cell r="C218" t="str">
            <v>TRIPODE DE EXPANASION, PARA CBRCON DIAL FABRICADO EN FUNDICION DE ALUMINIO, O ACERO EXTENCION DE 50.8MM</v>
          </cell>
          <cell r="D218" t="str">
            <v>Regular</v>
          </cell>
        </row>
        <row r="219">
          <cell r="B219" t="str">
            <v>4-05614A</v>
          </cell>
          <cell r="C219" t="str">
            <v>TRIPODE DE ALUMINIO MARCA SOKKIA CON ESTUCHE DE PROTECCION, COLOR PLATEADO</v>
          </cell>
          <cell r="D219" t="str">
            <v>Regular</v>
          </cell>
        </row>
        <row r="220">
          <cell r="B220" t="str">
            <v>4-08783</v>
          </cell>
          <cell r="C220" t="str">
            <v>BALANZA ELECTRONICA DE 30 KG, X 0,1 CON GANCHO PARA PESO BAJO BALANZA PUERTO A CONEXION A PC MARCA MATEST, MOD. V075-13</v>
          </cell>
          <cell r="D220" t="str">
            <v>Regular</v>
          </cell>
        </row>
        <row r="221">
          <cell r="B221" t="str">
            <v>4-08782</v>
          </cell>
          <cell r="C221" t="str">
            <v>BALANZA ELECTRONICA DE 15 KG, X 0,1 CON GANCHO PARA PESO BAJO BALANZA PUERTO A CONEXION A PC MARCA MATEST, MOD. V075-12</v>
          </cell>
          <cell r="D221" t="str">
            <v>Regular</v>
          </cell>
        </row>
        <row r="222">
          <cell r="B222" t="str">
            <v>4-11502</v>
          </cell>
          <cell r="C222" t="str">
            <v>BALANZA DE 60 KG DE CAPACIDAD MARCA RADWAG MODELO WLC 60/C2/R NUMERO DE SERIE 779963 PROCEDENCIA POLONIA</v>
          </cell>
          <cell r="D222" t="str">
            <v>Regular</v>
          </cell>
        </row>
        <row r="223">
          <cell r="B223" t="str">
            <v>4-11500</v>
          </cell>
          <cell r="C223" t="str">
            <v>BALANZA DE PRECISION MARCA RADWAG MODELO PS 3500.R1.M NUMERO DE SERIE 758112 PROCEDENCIA POLONIA</v>
          </cell>
          <cell r="D223" t="str">
            <v>Regular</v>
          </cell>
        </row>
        <row r="224">
          <cell r="B224" t="str">
            <v>4-11499</v>
          </cell>
          <cell r="C224" t="str">
            <v>BALANZA DE PRECISION MARCA RADWAG MODELO PS 3500.R1.M NUMERO DE SERIE 758110 PROCEDENCIA POLONIA</v>
          </cell>
          <cell r="D224" t="str">
            <v>Regular</v>
          </cell>
        </row>
        <row r="225">
          <cell r="B225" t="str">
            <v>4-08793</v>
          </cell>
          <cell r="C225" t="str">
            <v>COMPACTADOR MARSHALL AUTOMATICO MARCA MASTEST MOD. B033-01N, COMPACTADOR AUTOMATICO,ALIMENTACION 1HP 50HZ, 300W.</v>
          </cell>
          <cell r="D225" t="str">
            <v>Regular</v>
          </cell>
        </row>
        <row r="226">
          <cell r="B226" t="str">
            <v>4-011294</v>
          </cell>
          <cell r="C226" t="str">
            <v>EXTRACTOR UNIVERSAL MARCA MATEST MODELO S114 PROCEDENCIA ITALIA SERIE S114/BC/0009</v>
          </cell>
          <cell r="D226" t="str">
            <v>Regular</v>
          </cell>
        </row>
        <row r="227">
          <cell r="B227" t="str">
            <v>4-011293</v>
          </cell>
          <cell r="C227" t="str">
            <v>EXTRACTOR UNIVERSAL MARCA MATEST MODELO S114 PROCEDENCIA ITALIA SERIE S114/BC/0004</v>
          </cell>
          <cell r="D227" t="str">
            <v>Regular</v>
          </cell>
        </row>
        <row r="228">
          <cell r="B228" t="str">
            <v>4-011352</v>
          </cell>
          <cell r="C228" t="str">
            <v>EXTRACTOR CENTRIFUGO MARCA MATEST MODELO B011 PROCEDENCIA DE ITALIA SERIE B011/BC/0017</v>
          </cell>
          <cell r="D228" t="str">
            <v>Regular</v>
          </cell>
        </row>
        <row r="229">
          <cell r="B229" t="str">
            <v>4-05630</v>
          </cell>
          <cell r="C229" t="str">
            <v>CAZUELA CASA GRANDE BASE DE MADERA CON MANIVELA MANUAL</v>
          </cell>
          <cell r="D229" t="str">
            <v>Regular</v>
          </cell>
        </row>
        <row r="230">
          <cell r="B230" t="str">
            <v>4-011355</v>
          </cell>
          <cell r="C230" t="str">
            <v>CLEVELAND DE VASO ABIERTO PARA PUNTO DE INFLAMACION Y COMBUSTION MARCA MATEST MODELO B086 KIT PROCEDENCIA ITALIA SERIE B086BB/0044</v>
          </cell>
          <cell r="D230" t="str">
            <v>Regular</v>
          </cell>
        </row>
        <row r="231">
          <cell r="B231" t="str">
            <v>4-011323</v>
          </cell>
          <cell r="C231" t="str">
            <v>TALLADOR PARA SUELOS MARCA MATEST MODELO S120 PROCEDENCIA DE ITALIA SERIE S120/BB/0017</v>
          </cell>
          <cell r="D231" t="str">
            <v>Regular</v>
          </cell>
        </row>
        <row r="232">
          <cell r="B232" t="str">
            <v>4-08790</v>
          </cell>
          <cell r="C232" t="str">
            <v>EQUIPODE ENSAYO DCP MATEST MOD. S051, MARTILLO DESLIZABLE CON BARRA DE ACCIONAMIENTO VARILLA CON PUNTA CONICA DE 60¬ DIAMETRO DE 20MM.</v>
          </cell>
          <cell r="D232" t="str">
            <v>Regular</v>
          </cell>
        </row>
        <row r="233">
          <cell r="B233" t="str">
            <v>4-011339</v>
          </cell>
          <cell r="C233" t="str">
            <v>EQUIPO PARA ENSAYO SPT MARCA MATEST MODELO MOTORIZED CATHEAD KIT PROCEDENCIA DE USA SERIE 025060-3</v>
          </cell>
          <cell r="D233" t="str">
            <v>Regular</v>
          </cell>
        </row>
        <row r="234">
          <cell r="B234" t="str">
            <v>4-05608</v>
          </cell>
          <cell r="C234" t="str">
            <v>MOLDES PARA PRUEBA DE COMPACTACION PROCTER STANDARD</v>
          </cell>
          <cell r="D234" t="str">
            <v>Regular</v>
          </cell>
        </row>
        <row r="235">
          <cell r="B235" t="str">
            <v>4-05607</v>
          </cell>
          <cell r="C235" t="str">
            <v>MOLDES PARA PRUEBA DE COMPACTACION PROCTER STANDARD</v>
          </cell>
          <cell r="D235" t="str">
            <v>Regular</v>
          </cell>
        </row>
        <row r="236">
          <cell r="B236" t="str">
            <v>4-05606</v>
          </cell>
          <cell r="C236" t="str">
            <v>MOLDES PARA PRUEBA DE COMPACTACION PROCTER STANDARD</v>
          </cell>
          <cell r="D236" t="str">
            <v>Regular</v>
          </cell>
        </row>
        <row r="237">
          <cell r="B237" t="str">
            <v>4-04113A</v>
          </cell>
          <cell r="C237" t="str">
            <v>MOLDES PARA PRUEBAS DE COMPACTACION PROCTOR MODIFICADO, MARCA MATEST, CODIGO DE REFERENCIA S186, PROCEDENCIA ITALIA, COLOR PLATA, CANTIDAD DE PIEZAS 2</v>
          </cell>
          <cell r="D237" t="str">
            <v>Regular</v>
          </cell>
        </row>
        <row r="238">
          <cell r="B238" t="str">
            <v>4-07105</v>
          </cell>
          <cell r="C238" t="str">
            <v>MOLDE PARA PRUEBAS DE COMPACTACION PROCTOR MODIFICADO, MARCA MATEST, MODELO S186, PROCEDENCIA ITALIA, CANTIDAD DE PIEZAS 2, COLOR PLATA</v>
          </cell>
          <cell r="D238" t="str">
            <v>Regular</v>
          </cell>
        </row>
        <row r="239">
          <cell r="B239" t="str">
            <v>4-05609A</v>
          </cell>
          <cell r="C239" t="str">
            <v>MOLDES PARA PRUEBA DE COMPACTACION PROCTOR MODIFICADO</v>
          </cell>
          <cell r="D239" t="str">
            <v>Regular</v>
          </cell>
        </row>
        <row r="240">
          <cell r="B240" t="str">
            <v>4-05604</v>
          </cell>
          <cell r="C240" t="str">
            <v>MOLDES PARA PRUEBA DE COMPACTACION PROCTOR MODIFICADO</v>
          </cell>
          <cell r="D240" t="str">
            <v>Regular</v>
          </cell>
        </row>
        <row r="241">
          <cell r="B241" t="str">
            <v>4-05603</v>
          </cell>
          <cell r="C241" t="str">
            <v>MOLDES PARA PRUEBA DE COMPACTACION PROCTOR MODIFICADO</v>
          </cell>
          <cell r="D241" t="str">
            <v>Regular</v>
          </cell>
        </row>
        <row r="242">
          <cell r="B242" t="str">
            <v>4-07107</v>
          </cell>
          <cell r="C242" t="str">
            <v>MOLDES DE COMPACTACION MARSHALL, MARCA MATEST, MODELO B030-KIT, PROCEDENCIA ITALIA, CANTIDAD DE PIEZAS 5, COLOR BRONCE.</v>
          </cell>
          <cell r="D242" t="str">
            <v>Regular</v>
          </cell>
        </row>
        <row r="243">
          <cell r="B243" t="str">
            <v>4-07106</v>
          </cell>
          <cell r="C243" t="str">
            <v>MOLDES DE COMPACTACION MARSHALL, MARCA MATEST, MODELO B030-KIT, PROCEDENCIA ITALIA, CANTIDAD DE PIEZAS 5, COLOR BRONCE.</v>
          </cell>
          <cell r="D243" t="str">
            <v>Regular</v>
          </cell>
        </row>
        <row r="244">
          <cell r="B244" t="str">
            <v>4-05610</v>
          </cell>
          <cell r="C244" t="str">
            <v>MOLDES PARA PRUEBA DE COMPACTACION CBR INCLUYY UNA CERRADA DE 2.27 KG. ESPESOR DE 6.35MM DIAMETRO INTERNO 53.98 MM EXTERNO 149.23</v>
          </cell>
          <cell r="D244" t="str">
            <v>Regular</v>
          </cell>
        </row>
        <row r="245">
          <cell r="B245" t="str">
            <v>4-05602</v>
          </cell>
          <cell r="C245" t="str">
            <v>MOLDES PARA PRUEBA DE COMPACTACION CBR INCLUYY UNA CERRADA DE 2.27 KG. ESPESOR DE 6.35MM DIAMETRO INTERNO 53.98 MM EXTERNO 149.23</v>
          </cell>
          <cell r="D245" t="str">
            <v>Regular</v>
          </cell>
        </row>
        <row r="246">
          <cell r="B246" t="str">
            <v>4-05599A</v>
          </cell>
          <cell r="C246" t="str">
            <v>MOLDES PARA PRUEBA DE COMPACTACION CBR INCLUYY UNA CERRADA DE 2.27 KG. ESPESOR DE 6.35MM DIAMETRO INTERNO 53.98 MM EXTERNO 149.23</v>
          </cell>
          <cell r="D246" t="str">
            <v>Regular</v>
          </cell>
        </row>
        <row r="247">
          <cell r="B247" t="str">
            <v>4-05598</v>
          </cell>
          <cell r="C247" t="str">
            <v>MOLDES PARA PRUEBA DE COMPACTACION CBR INCLUYY UNA CERRADA DE 2.27 KG. ESPESOR DE 6.35MM DIAMETRO INTERNO 53.98 MM EXTERNO 149.23</v>
          </cell>
          <cell r="D247" t="str">
            <v>Regular</v>
          </cell>
        </row>
        <row r="248">
          <cell r="B248" t="str">
            <v>4-05592</v>
          </cell>
          <cell r="C248" t="str">
            <v>MOLDES PARA PRUEBA DE COMPACTACION CBR INCLUYY UNA CERRADA DE 2.27 KG. ESPESOR DE 6.35MM DIAMETRO INTERNO 53.98 MM EXTERNO 149.23</v>
          </cell>
          <cell r="D248" t="str">
            <v>Regular</v>
          </cell>
        </row>
        <row r="249">
          <cell r="B249" t="str">
            <v>4-05590</v>
          </cell>
          <cell r="C249" t="str">
            <v>MOLDES PARA PRUEBA DE COMPACTACION CBR INCLUYY UNA CERRADA DE 2.27 KG. ESPESOR DE 6.35MM DIAMETRO INTERNO 53.98 MM EXTERNO 149.23</v>
          </cell>
          <cell r="D249" t="str">
            <v>Regular</v>
          </cell>
        </row>
        <row r="250">
          <cell r="B250" t="str">
            <v>4-05592A</v>
          </cell>
          <cell r="C250" t="str">
            <v>MOLDES PARA PRUEBAS DE COMPACTACION INCLUYE UN JUEGO DE PESAS, UNA ABIERTA Y OTRA CERRADA, UNA PLACA DE EXPANSION, TODO DE ACERO INOXIDABLE</v>
          </cell>
          <cell r="D250" t="str">
            <v>Regular</v>
          </cell>
        </row>
        <row r="251">
          <cell r="B251" t="str">
            <v>4-05597</v>
          </cell>
          <cell r="C251" t="str">
            <v>MOLDES PARA PRUEBAS DE COMPACTACION INCLUYE UN JUEGO DE PESA, UNA ABIERTA Y OTRA CERRADA, UNA PLACA DE EXPANSION, TODO DE ACERO INOXIDABLE</v>
          </cell>
          <cell r="D251" t="str">
            <v>Regular</v>
          </cell>
        </row>
        <row r="252">
          <cell r="B252" t="str">
            <v>4-05591</v>
          </cell>
          <cell r="C252" t="str">
            <v>MOLDES PARA PRUEBAS DE COMPACTACION INCLUYE UN JUEGO DE PESA, UNA ABIERTA Y OTRA CERRADA, UNA PLACA DE EXPANSION, TODO DE ACERO INOXIDABLE</v>
          </cell>
          <cell r="D252" t="str">
            <v>Regular</v>
          </cell>
        </row>
        <row r="253">
          <cell r="B253" t="str">
            <v>4-05612</v>
          </cell>
          <cell r="C253" t="str">
            <v>JUEGO DWE MOLDE PARA PRUEBA DE COMPACTACION CBR (H4151)</v>
          </cell>
          <cell r="D253" t="str">
            <v>Regular</v>
          </cell>
        </row>
        <row r="254">
          <cell r="B254" t="str">
            <v>4-05601</v>
          </cell>
          <cell r="C254" t="str">
            <v>JUEGO DWE MOLDE PARA PRUEBA DE COMPACTACION CBR (H4151)</v>
          </cell>
          <cell r="D254" t="str">
            <v>Regular</v>
          </cell>
        </row>
        <row r="255">
          <cell r="B255" t="str">
            <v>4-05600</v>
          </cell>
          <cell r="C255" t="str">
            <v>JUEGO DWE MOLDE PARA PRUEBA DE COMPACTACION CBR (H4151)</v>
          </cell>
          <cell r="D255" t="str">
            <v>Regular</v>
          </cell>
        </row>
        <row r="256">
          <cell r="B256" t="str">
            <v>4-05599</v>
          </cell>
          <cell r="C256" t="str">
            <v>JUEGO DWE MOLDE PARA PRUEBA DE COMPACTACION CBR (H4151)</v>
          </cell>
          <cell r="D256" t="str">
            <v>Regular</v>
          </cell>
        </row>
        <row r="257">
          <cell r="B257" t="str">
            <v>4-05596</v>
          </cell>
          <cell r="C257" t="str">
            <v>JUEGO DWE MOLDE PARA PRUEBA DE COMPACTACION CBR (H4151)</v>
          </cell>
          <cell r="D257" t="str">
            <v>Regular</v>
          </cell>
        </row>
        <row r="258">
          <cell r="B258" t="str">
            <v>4-05595</v>
          </cell>
          <cell r="C258" t="str">
            <v>JUEGO DWE MOLDE PARA PRUEBA DE COMPACTACION CBR (H4151)</v>
          </cell>
          <cell r="D258" t="str">
            <v>Regular</v>
          </cell>
        </row>
        <row r="259">
          <cell r="B259" t="str">
            <v>4-05594</v>
          </cell>
          <cell r="C259" t="str">
            <v>JUEGO DWE MOLDE PARA PRUEBA DE COMPACTACION CBR (H4151)</v>
          </cell>
          <cell r="D259" t="str">
            <v>Regular</v>
          </cell>
        </row>
        <row r="260">
          <cell r="B260" t="str">
            <v>4-05593</v>
          </cell>
          <cell r="C260" t="str">
            <v>JUEGO DWE MOLDE PARA PRUEBA DE COMPACTACION CBR (H4151)</v>
          </cell>
          <cell r="D260" t="str">
            <v>Regular</v>
          </cell>
        </row>
        <row r="261">
          <cell r="B261" t="str">
            <v>4-09804</v>
          </cell>
          <cell r="C261" t="str">
            <v>MOLDES PARA PRUEBAS DE COMPACTACION (JUEGO DE 3 MOLDES) MARCA TECNICAS CP-NACIONAL SERIE N¬MCBRT220208-MCBRT220221-MCBRT220211</v>
          </cell>
          <cell r="D261" t="str">
            <v>Regular</v>
          </cell>
        </row>
        <row r="262">
          <cell r="B262" t="str">
            <v>4-011292</v>
          </cell>
          <cell r="C262" t="str">
            <v>APARATO DE CONSOLIDACION BANCADA DE TRES EDOMETRO MARCA MATEST MODELO S260 PROCEDENCIA ITALIA SERIE S260/BB/0099</v>
          </cell>
          <cell r="D262" t="str">
            <v>Regular</v>
          </cell>
        </row>
        <row r="263">
          <cell r="B263" t="str">
            <v>4-011356</v>
          </cell>
          <cell r="C263" t="str">
            <v>VISCOSIMETRO SAYBOLT DE DOS TUBOS MARCA MATEST MODELO B087-01 PROCEDENCIA DE ITALIA SERIE B087-01/BC/0002</v>
          </cell>
          <cell r="D263" t="str">
            <v>Regular</v>
          </cell>
        </row>
        <row r="264">
          <cell r="B264" t="str">
            <v>4-05629</v>
          </cell>
          <cell r="C264" t="str">
            <v>CASA GRANDE CON CONTADOR</v>
          </cell>
          <cell r="D264" t="str">
            <v>Regular</v>
          </cell>
        </row>
        <row r="265">
          <cell r="B265" t="str">
            <v>4-05628</v>
          </cell>
          <cell r="C265" t="str">
            <v>CASA GRANDE CON CONTADOR</v>
          </cell>
          <cell r="D265" t="str">
            <v>Regular</v>
          </cell>
        </row>
        <row r="266">
          <cell r="B266" t="str">
            <v>4-05578</v>
          </cell>
          <cell r="C266" t="str">
            <v>APARATO VICAT MANUAL; MARCA MATEST, PROCEDENCIA ITALIA, MODELO E055N COLOR NEGRO</v>
          </cell>
          <cell r="D266" t="str">
            <v>Regular</v>
          </cell>
        </row>
        <row r="267">
          <cell r="B267" t="str">
            <v>4-05577</v>
          </cell>
          <cell r="C267" t="str">
            <v>APARATO VICAT MANUAL; MARCA MATEST, PROCEDENCIA ITALIA, MODELO E055N COLOR NEGRO</v>
          </cell>
          <cell r="D267" t="str">
            <v>Regular</v>
          </cell>
        </row>
        <row r="268">
          <cell r="B268" t="str">
            <v>4-11509</v>
          </cell>
          <cell r="C268" t="str">
            <v>TRITURADORA DE MANDIBULAS PARA LABORATORIO MARCA MATEST MODELO A092 NUMERO DE SERIE A092/BC/0020 PROCEDENCIA ITALIA</v>
          </cell>
          <cell r="D268" t="str">
            <v>Regular</v>
          </cell>
        </row>
        <row r="269">
          <cell r="B269" t="str">
            <v>4-09803</v>
          </cell>
          <cell r="C269" t="str">
            <v>ESCLEROMETRO-MARTILLO DE PRUEBA DE HORMIGON TIPO N MARCA ZHEJIANG MODELO ZC3-A SERIE N¬E22106</v>
          </cell>
          <cell r="D269" t="str">
            <v>Regular</v>
          </cell>
        </row>
        <row r="270">
          <cell r="B270" t="str">
            <v>4-11506</v>
          </cell>
          <cell r="C270" t="str">
            <v>APARATO DE BLAINE DE PERMEABILIDAD DE AIRE MARCA MATEST MODELO E009 KIT NUMERO DE SERIE E009-KIT/BB/0052 PROCEDENCIA ITALIA</v>
          </cell>
          <cell r="D270" t="str">
            <v>Regular</v>
          </cell>
        </row>
        <row r="271">
          <cell r="B271" t="str">
            <v>4-11507</v>
          </cell>
          <cell r="C271" t="str">
            <v>APARATO DE BLAINE DE PERMEABILIDAD DE AIRE MARCA MATEST MODELO E009 KIT NUMERO DE SERIE E009-KIT/BB/0051 PROCEDENCIA ITALIA</v>
          </cell>
          <cell r="D271" t="str">
            <v>Regular</v>
          </cell>
        </row>
        <row r="272">
          <cell r="B272" t="str">
            <v>4-08785</v>
          </cell>
          <cell r="C272" t="str">
            <v>EQUIPO DE ENSAYO PERMEABILIDAD MATEST MOD. S245-01 CELDA DE PERMEABILIDAD 1 SOPORTE MANOMETRO 3 TUBOS DE DIAMETRO INTERNO 1 TANQUE NIVEL CONSTANTE.</v>
          </cell>
          <cell r="D272" t="str">
            <v>Regular</v>
          </cell>
        </row>
        <row r="273">
          <cell r="B273" t="str">
            <v>4-11633</v>
          </cell>
          <cell r="C273" t="str">
            <v>MOLINO TIPO MARTILLO PARA SUELOS MARCA GILSON MODELO SA-45F S/N 6K490BF PROCEDENCIA EEUU</v>
          </cell>
          <cell r="D273" t="str">
            <v>Regular</v>
          </cell>
        </row>
        <row r="274">
          <cell r="B274" t="str">
            <v>4-011354</v>
          </cell>
          <cell r="C274" t="str">
            <v>EQUIPO DE ANILLO Y BOLA MARCA MATEST MODELO B072 PROCEDENCIA DE ITALIA SERIE B072/AB/0004</v>
          </cell>
          <cell r="D274" t="str">
            <v>Regular</v>
          </cell>
        </row>
        <row r="275">
          <cell r="B275" t="str">
            <v>4-011353</v>
          </cell>
          <cell r="C275" t="str">
            <v>EQUIPO DE ANILLO Y BOLA MARCA MATEST MODELO B072 PROCEDENCIA DE ITALIA SERIE B072/AB/0003</v>
          </cell>
          <cell r="D275" t="str">
            <v>Regular</v>
          </cell>
        </row>
        <row r="276">
          <cell r="B276" t="str">
            <v>4-08596</v>
          </cell>
          <cell r="C276" t="str">
            <v>PIZARRA ACRILICA DIVIDIDA EN DOS MODULOS CON MARCO DE ALUMINIO CON BRILLO LAVABLE DE 6 X 1.30 METROS</v>
          </cell>
          <cell r="D276" t="str">
            <v>Regular</v>
          </cell>
        </row>
        <row r="277">
          <cell r="B277" t="str">
            <v>4-011291</v>
          </cell>
          <cell r="C277" t="str">
            <v>EQUIPO CORTE DIRECTO RESIDUAL AUTOMATICO, MARCA MATEST MODELO S276-10M PROCEDENCIA ITALIA SERIE - S276-10N/BC/0010</v>
          </cell>
          <cell r="D277" t="str">
            <v>Regular</v>
          </cell>
        </row>
        <row r="278">
          <cell r="B278" t="str">
            <v>4-011337</v>
          </cell>
          <cell r="C278" t="str">
            <v>MOLDES CBR MARCA MATEST MODELO S200-01N PROCEDENCIA DE ITALIA SERIE S200-01N/BC/0008</v>
          </cell>
          <cell r="D278" t="str">
            <v>Regular</v>
          </cell>
        </row>
        <row r="279">
          <cell r="B279" t="str">
            <v>4-011336</v>
          </cell>
          <cell r="C279" t="str">
            <v>MOLDES CBR MARCA MATEST MODELO S200-01N PROCEDENCIA DE ITALIA SERIE S200-01N/BC/0007</v>
          </cell>
          <cell r="D279" t="str">
            <v>Regular</v>
          </cell>
        </row>
        <row r="280">
          <cell r="B280" t="str">
            <v>4-011335</v>
          </cell>
          <cell r="C280" t="str">
            <v>MOLDES CBR MARCA MATEST MODELO S200-01N PROCEDENCIA DE ITALIA SERIE S200-01N/BC/0006</v>
          </cell>
          <cell r="D280" t="str">
            <v>Regular</v>
          </cell>
        </row>
        <row r="281">
          <cell r="B281" t="str">
            <v>4-011334</v>
          </cell>
          <cell r="C281" t="str">
            <v>MOLDES CBR MARCA MATEST MODELO S200-01N PROCEDENCIA DE ITALIA SERIE S200-01N/BC/0005</v>
          </cell>
          <cell r="D281" t="str">
            <v>Regular</v>
          </cell>
        </row>
        <row r="282">
          <cell r="B282" t="str">
            <v>4-011333</v>
          </cell>
          <cell r="C282" t="str">
            <v>MOLDES CBR MARCA MATEST MODELO S200-01N PROCEDENCIA DE ITALIA SERIE S200-01N/BC/0004</v>
          </cell>
          <cell r="D282" t="str">
            <v>Regular</v>
          </cell>
        </row>
        <row r="283">
          <cell r="B283" t="str">
            <v>4-011332</v>
          </cell>
          <cell r="C283" t="str">
            <v>MOLDES CBR MARCA MATEST MODELO S200-01N PROCEDENCIA DE ITALIA SERIE S200-01N/BC/0003</v>
          </cell>
          <cell r="D283" t="str">
            <v>Regular</v>
          </cell>
        </row>
        <row r="284">
          <cell r="B284" t="str">
            <v>4-09805</v>
          </cell>
          <cell r="C284" t="str">
            <v>INDICADOR DIAL DE PENETRACION -RECORRIDO DE 1X0.001 MARCA:BAKER MODELO: J50A SERIEN¬R2544MATERIAL METAL COLOR NEGRO CON AMARILLO</v>
          </cell>
          <cell r="D284" t="str">
            <v>Regular</v>
          </cell>
        </row>
        <row r="285">
          <cell r="B285" t="str">
            <v>4-09806</v>
          </cell>
          <cell r="C285" t="str">
            <v>INDICADOR DIAL DE PENETRACION -RECORRIDO DE 1X0.001 MARCA:BAKER MODELO: J50A SERIEN¬R2540 MATERIAL METAL COLOR NEGRO CON AMARILLO</v>
          </cell>
          <cell r="D285" t="str">
            <v>Regular</v>
          </cell>
        </row>
        <row r="286">
          <cell r="B286" t="str">
            <v>4-05625</v>
          </cell>
          <cell r="C286" t="str">
            <v>MARTILLO PARA PRUEBA DE COMPACTACION PROCTOR STANDARD DE CONRE</v>
          </cell>
          <cell r="D286" t="str">
            <v>Regular</v>
          </cell>
        </row>
        <row r="287">
          <cell r="B287" t="str">
            <v>4-05622</v>
          </cell>
          <cell r="C287" t="str">
            <v>MARTILLO PARA PRUEBA DE COMPACTACION PROCTOR MODIFICADO , PLATEADO 40 CN</v>
          </cell>
          <cell r="D287" t="str">
            <v>Regular</v>
          </cell>
        </row>
        <row r="288">
          <cell r="B288" t="str">
            <v>4-07095</v>
          </cell>
          <cell r="C288" t="str">
            <v>MARTILLO PARA PRUEBAS DE COMPACTACION, MARCA MATEST, MODELO S188, PROCEDENCIA ITALIA, COLOR BRONCE, CANTIDAD DE PIEZA 1</v>
          </cell>
          <cell r="D288" t="str">
            <v>Regular</v>
          </cell>
        </row>
        <row r="289">
          <cell r="B289" t="str">
            <v>4-05624</v>
          </cell>
          <cell r="C289" t="str">
            <v>MARTILLO DE PRUEBA DE COMPACTACION PROCTOR MODIFICADO PESO DE 1.5 KG CAIDA DE 457.2MM (18 DIAMETRO) PARA COMPACTAR SUELO</v>
          </cell>
          <cell r="D289" t="str">
            <v>Regular</v>
          </cell>
        </row>
        <row r="290">
          <cell r="B290" t="str">
            <v>4-05623</v>
          </cell>
          <cell r="C290" t="str">
            <v>MARTILLO PARA PRUEBA D COMPACTACION, PROCTOR MODIFICADO PESO DE 4.5, CAIDA DE 457.2MM MARCA TAMIEQUIPO</v>
          </cell>
          <cell r="D290" t="str">
            <v>Regular</v>
          </cell>
        </row>
        <row r="291">
          <cell r="B291" t="str">
            <v>4-011357</v>
          </cell>
          <cell r="C291" t="str">
            <v>VIGA BENKELMAN MARCA MATEST MODELO B102 PROCENDENCIA DE ITALIA SERIE 0102-05/BA/0003</v>
          </cell>
          <cell r="D291" t="str">
            <v>Regular</v>
          </cell>
        </row>
        <row r="292">
          <cell r="B292" t="str">
            <v>4-08572</v>
          </cell>
          <cell r="C292" t="str">
            <v>BALANZA ELECTRONICA, MARCA OHAUS, MODELO R31P30, CAPACIDAD 30 KG X 1 KG</v>
          </cell>
          <cell r="D292" t="str">
            <v>Regular</v>
          </cell>
        </row>
        <row r="293">
          <cell r="B293" t="str">
            <v>4-11501</v>
          </cell>
          <cell r="C293" t="str">
            <v>BALANZA DE 60 KG DE CAPACIDAD MARCA RADWAG MODELO WLC 60/C2/R NUMERO DE SERIE 760184 PROCEDENCIA POLONIA</v>
          </cell>
          <cell r="D293" t="str">
            <v>Regular</v>
          </cell>
        </row>
        <row r="294">
          <cell r="B294" t="str">
            <v>4-011326</v>
          </cell>
          <cell r="C294" t="str">
            <v>EQUIPO DE COMPACTACION MARCA MATEST MODELO S185 PROCEDENCIA DE ITALIA SERIE S185-04/BB/0001</v>
          </cell>
          <cell r="D294" t="str">
            <v>Regular</v>
          </cell>
        </row>
        <row r="295">
          <cell r="B295" t="str">
            <v>4-011331</v>
          </cell>
          <cell r="C295" t="str">
            <v>EQUIPO DE COMPACTACION MARCA MATEST MODELO S185 PROCEDENCIA DE ITALIA SERIE S185-04/BB/0006</v>
          </cell>
          <cell r="D295" t="str">
            <v>Regular</v>
          </cell>
        </row>
        <row r="296">
          <cell r="B296" t="str">
            <v>4-011330</v>
          </cell>
          <cell r="C296" t="str">
            <v>EQUIPO DE COMPACTACION MARCA MATEST MODELO S185 PROCEDENCIA DE ITALIA SERIE S185-04/BB/0005</v>
          </cell>
          <cell r="D296" t="str">
            <v>Regular</v>
          </cell>
        </row>
        <row r="297">
          <cell r="B297" t="str">
            <v>4-011329</v>
          </cell>
          <cell r="C297" t="str">
            <v>EQUIPO DE COMPACTACION MARCA MATEST MODELO S185 PROCEDENCIA DE ITALIA SERIE S185-04/BB/0004</v>
          </cell>
          <cell r="D297" t="str">
            <v>Regular</v>
          </cell>
        </row>
        <row r="298">
          <cell r="B298" t="str">
            <v>4-011328</v>
          </cell>
          <cell r="C298" t="str">
            <v>EQUIPO DE COMPACTACION MARCA MATEST MODELO S185 PROCEDENCIA DE ITALIA SERIE S185-04/BB/0003</v>
          </cell>
          <cell r="D298" t="str">
            <v>Regular</v>
          </cell>
        </row>
        <row r="299">
          <cell r="B299" t="str">
            <v>4-011327</v>
          </cell>
          <cell r="C299" t="str">
            <v>EQUIPO DE COMPACTACION MARCA MATEST MODELO S185 PROCEDENCIA DE ITALIA SERIE S185-04/BB/0002</v>
          </cell>
          <cell r="D299" t="str">
            <v>Regular</v>
          </cell>
        </row>
        <row r="300">
          <cell r="B300">
            <v>8757</v>
          </cell>
          <cell r="C300" t="str">
            <v>CRUCETA, EN FORMA DE 'T' CON CONEXI-N A 1' Y PARA EXTRACCION DE MUESTRAS ALTERADAS</v>
          </cell>
          <cell r="D300" t="str">
            <v>Regular</v>
          </cell>
        </row>
        <row r="301">
          <cell r="B301" t="str">
            <v>4-07116</v>
          </cell>
          <cell r="C301" t="str">
            <v>CRUCETA, EN FORMA DE 'T' CON CONEXION A 1' Y PARA EXTRACCION DE MUESTRAS ALTERADAS</v>
          </cell>
          <cell r="D301" t="str">
            <v>Regular</v>
          </cell>
        </row>
        <row r="302">
          <cell r="B302">
            <v>8736</v>
          </cell>
          <cell r="C302" t="str">
            <v>TORRE DESMONTABLE, COLOR BRONCE, CANTIDAD DE PIEZAS 4.</v>
          </cell>
          <cell r="D302" t="str">
            <v>Regular</v>
          </cell>
        </row>
        <row r="303">
          <cell r="B303" t="str">
            <v>4-07094</v>
          </cell>
          <cell r="C303" t="str">
            <v>ESTRACTOR DE PROBETAS UNIVERSAL, MARCA MATEST, MODELO S114, PROCEDENCIA ITALIA, COLOR AZUL Y PLATA, CANTIDAD DE PIEZAS 4</v>
          </cell>
          <cell r="D303" t="str">
            <v>Regular</v>
          </cell>
        </row>
        <row r="304">
          <cell r="B304" t="str">
            <v>4-05437</v>
          </cell>
          <cell r="C304" t="str">
            <v>TAMIZADORA ELECTRICA CON TEMPORIZADOR DIGITAL PROGRAMABLE MOTOR 250 W,1.5 AMP., RPM 1420 COLOR VERDE</v>
          </cell>
          <cell r="D304" t="str">
            <v>Regular</v>
          </cell>
        </row>
        <row r="305">
          <cell r="B305" t="str">
            <v>4-011314</v>
          </cell>
          <cell r="C305" t="str">
            <v>TAMIZADORA ELECTROMAGNETICA MARCA MATEST MODELO A059-02 KIT PROCEDENCIA ITALIA SERIE A059-02/BC/0061</v>
          </cell>
          <cell r="D305" t="str">
            <v>Regular</v>
          </cell>
        </row>
        <row r="306">
          <cell r="B306" t="str">
            <v>4-11634</v>
          </cell>
          <cell r="C306" t="str">
            <v>TAMIZADOR CON MALLA DE 2MM INOX 304 MARCA MATEST MODELO A059-01 KIT S/N A059-12/BC/0090 PROCEDENCIA ITALIA</v>
          </cell>
          <cell r="D306" t="str">
            <v>Regular</v>
          </cell>
        </row>
        <row r="307">
          <cell r="B307" t="str">
            <v>4-08787</v>
          </cell>
          <cell r="C307" t="str">
            <v>MEDIDOR DE HUMEDAD SPEEDY MARCA MATEST MOD. A026-KIT CON BALANZA ELECTRONICA LATA DE REACTIVO CAPACIDAD DE 20 GRAMOS RANGO DE HUMEDAD 0-20% PESO 8 KG.</v>
          </cell>
          <cell r="D307" t="str">
            <v>Regular</v>
          </cell>
        </row>
        <row r="308">
          <cell r="B308" t="str">
            <v>4-08780</v>
          </cell>
          <cell r="C308" t="str">
            <v>HORNO PARA LABORATORIO MARCA MATEST MOD. A008-03 KIT CON VENTILACION FORZADA CAPAC 220 LTRS POTENCIA 2050W MEDIDAS: 0,60*0,61*0,60</v>
          </cell>
          <cell r="D308" t="str">
            <v>Regular</v>
          </cell>
        </row>
        <row r="309">
          <cell r="B309" t="str">
            <v>4-011344</v>
          </cell>
          <cell r="C309" t="str">
            <v>HORNO DE DESGASIFICACION AL VACIO (VDO) MARCA MATEST MODELO B091M-01 PROCEDENCIA DE ITALIA SERIE B091M-01/BC/0002</v>
          </cell>
          <cell r="D309" t="str">
            <v>Malo</v>
          </cell>
        </row>
        <row r="310">
          <cell r="B310" t="str">
            <v>4-011341</v>
          </cell>
          <cell r="C310" t="str">
            <v>RECIPIENTE DE ENVEJECIMIENTO A PRESION (PAV) MARCA MATEST MODELO B091M PROCEDENCIA DE ITALIA SERIE B091M/BC/0017</v>
          </cell>
          <cell r="D310" t="str">
            <v>Regular</v>
          </cell>
        </row>
        <row r="311">
          <cell r="B311">
            <v>8495</v>
          </cell>
          <cell r="C311" t="str">
            <v>ANILLO DE CARGA DE 11000 LB (H-4454100)</v>
          </cell>
          <cell r="D311" t="str">
            <v>Regular</v>
          </cell>
        </row>
        <row r="312">
          <cell r="B312" t="str">
            <v>4-05439</v>
          </cell>
          <cell r="C312" t="str">
            <v>ANILLO DE CARGA 2200 LB (H-4454020)</v>
          </cell>
          <cell r="D312" t="str">
            <v>Regular</v>
          </cell>
        </row>
        <row r="313">
          <cell r="B313" t="str">
            <v>4-07078</v>
          </cell>
          <cell r="C313" t="str">
            <v>BAÑO MARIA MARCA MATEST, MODELO: B-052 SERIE: B/052/AF/0010 MATERIAL METALICO</v>
          </cell>
          <cell r="D313" t="str">
            <v>Regular</v>
          </cell>
        </row>
      </sheetData>
      <sheetData sheetId="1" refreshError="1">
        <row r="4">
          <cell r="C4" t="str">
            <v>BRYAN JOSE ATAHUICHI PINTO</v>
          </cell>
        </row>
        <row r="9">
          <cell r="B9" t="str">
            <v>4-09533</v>
          </cell>
          <cell r="F9" t="str">
            <v>Regular</v>
          </cell>
        </row>
        <row r="10">
          <cell r="B10" t="str">
            <v>4-05963</v>
          </cell>
          <cell r="F10" t="str">
            <v>Regular</v>
          </cell>
        </row>
        <row r="11">
          <cell r="B11" t="str">
            <v>4-05965</v>
          </cell>
          <cell r="F11" t="str">
            <v>Regular</v>
          </cell>
        </row>
        <row r="12">
          <cell r="B12" t="str">
            <v>4-05967</v>
          </cell>
          <cell r="F12" t="str">
            <v>Regular</v>
          </cell>
        </row>
        <row r="13">
          <cell r="B13" t="str">
            <v>4-05958</v>
          </cell>
          <cell r="F13" t="str">
            <v>Regular</v>
          </cell>
        </row>
        <row r="14">
          <cell r="B14" t="str">
            <v>4-05964</v>
          </cell>
          <cell r="F14" t="str">
            <v>Regular</v>
          </cell>
        </row>
        <row r="15">
          <cell r="B15" t="str">
            <v>4-05959</v>
          </cell>
          <cell r="F15" t="str">
            <v>Regular</v>
          </cell>
        </row>
        <row r="16">
          <cell r="B16" t="str">
            <v>4-05962</v>
          </cell>
          <cell r="F16" t="str">
            <v>Regular</v>
          </cell>
        </row>
        <row r="17">
          <cell r="B17" t="str">
            <v>4-05934</v>
          </cell>
          <cell r="F17" t="str">
            <v>Regular</v>
          </cell>
        </row>
        <row r="18">
          <cell r="B18" t="str">
            <v>4-05966</v>
          </cell>
          <cell r="F18" t="str">
            <v>Regular</v>
          </cell>
        </row>
        <row r="19">
          <cell r="B19" t="str">
            <v>4-05935</v>
          </cell>
          <cell r="F19" t="str">
            <v>Regular</v>
          </cell>
        </row>
        <row r="20">
          <cell r="B20" t="str">
            <v>4-05960</v>
          </cell>
          <cell r="F20" t="str">
            <v>Regular</v>
          </cell>
        </row>
        <row r="21">
          <cell r="B21" t="str">
            <v>4-05933</v>
          </cell>
          <cell r="F21" t="str">
            <v>Regular</v>
          </cell>
        </row>
        <row r="22">
          <cell r="B22" t="str">
            <v>4-05930</v>
          </cell>
          <cell r="F22" t="str">
            <v>Regular</v>
          </cell>
        </row>
        <row r="23">
          <cell r="B23" t="str">
            <v>4-05931</v>
          </cell>
          <cell r="F23" t="str">
            <v>Regular</v>
          </cell>
        </row>
        <row r="24">
          <cell r="B24" t="str">
            <v>4-05932</v>
          </cell>
          <cell r="F24" t="str">
            <v>Regular</v>
          </cell>
        </row>
        <row r="25">
          <cell r="B25" t="str">
            <v>4-05961</v>
          </cell>
          <cell r="F25" t="str">
            <v>Regular</v>
          </cell>
        </row>
        <row r="26">
          <cell r="B26" t="str">
            <v>4-05892</v>
          </cell>
          <cell r="F26" t="str">
            <v>Regular</v>
          </cell>
        </row>
        <row r="27">
          <cell r="B27" t="str">
            <v>4-05896</v>
          </cell>
          <cell r="F27" t="str">
            <v>Regular</v>
          </cell>
        </row>
        <row r="28">
          <cell r="B28" t="str">
            <v>4-05899</v>
          </cell>
          <cell r="F28" t="str">
            <v>Regular</v>
          </cell>
        </row>
        <row r="29">
          <cell r="B29" t="str">
            <v>4-05893</v>
          </cell>
          <cell r="F29" t="str">
            <v>Regular</v>
          </cell>
        </row>
        <row r="30">
          <cell r="B30" t="str">
            <v>4-05897</v>
          </cell>
          <cell r="F30" t="str">
            <v>Regular</v>
          </cell>
        </row>
        <row r="31">
          <cell r="B31" t="str">
            <v>4-05895</v>
          </cell>
          <cell r="F31" t="str">
            <v>Regular</v>
          </cell>
        </row>
        <row r="32">
          <cell r="B32" t="str">
            <v>4-05898</v>
          </cell>
          <cell r="F32" t="str">
            <v>Regular</v>
          </cell>
        </row>
        <row r="33">
          <cell r="B33" t="str">
            <v>4-05894</v>
          </cell>
          <cell r="F33" t="str">
            <v>Regular</v>
          </cell>
        </row>
        <row r="34">
          <cell r="B34" t="str">
            <v>4-09532</v>
          </cell>
          <cell r="F34" t="str">
            <v>Regular</v>
          </cell>
        </row>
        <row r="35">
          <cell r="B35" t="str">
            <v>4-05947</v>
          </cell>
          <cell r="F35" t="str">
            <v>Regular</v>
          </cell>
        </row>
        <row r="36">
          <cell r="B36" t="str">
            <v>4-05946</v>
          </cell>
          <cell r="F36" t="str">
            <v>Regular</v>
          </cell>
        </row>
        <row r="37">
          <cell r="B37" t="str">
            <v>4-05945</v>
          </cell>
          <cell r="F37" t="str">
            <v>Regular</v>
          </cell>
        </row>
        <row r="38">
          <cell r="B38" t="str">
            <v>4-05944</v>
          </cell>
          <cell r="F38" t="str">
            <v>Regular</v>
          </cell>
        </row>
        <row r="39">
          <cell r="B39" t="str">
            <v>4-05943</v>
          </cell>
          <cell r="F39" t="str">
            <v>Regular</v>
          </cell>
        </row>
        <row r="40">
          <cell r="B40" t="str">
            <v>4-05901</v>
          </cell>
          <cell r="F40" t="str">
            <v>Regular</v>
          </cell>
        </row>
        <row r="41">
          <cell r="B41" t="str">
            <v>4-05903</v>
          </cell>
          <cell r="F41" t="str">
            <v>Regular</v>
          </cell>
        </row>
        <row r="42">
          <cell r="B42" t="str">
            <v>4-05900</v>
          </cell>
          <cell r="F42" t="str">
            <v>Regular</v>
          </cell>
        </row>
        <row r="43">
          <cell r="B43" t="str">
            <v>4-05902</v>
          </cell>
          <cell r="F43" t="str">
            <v>Regular</v>
          </cell>
        </row>
        <row r="44">
          <cell r="B44" t="str">
            <v>4-05907</v>
          </cell>
          <cell r="F44" t="str">
            <v>Regular</v>
          </cell>
        </row>
        <row r="45">
          <cell r="B45" t="str">
            <v>4-05904</v>
          </cell>
          <cell r="F45" t="str">
            <v>Regular</v>
          </cell>
        </row>
        <row r="46">
          <cell r="B46" t="str">
            <v>4-05906</v>
          </cell>
          <cell r="F46" t="str">
            <v>Regular</v>
          </cell>
        </row>
        <row r="47">
          <cell r="B47" t="str">
            <v>4-05905</v>
          </cell>
          <cell r="F47" t="str">
            <v>Regular</v>
          </cell>
        </row>
        <row r="48">
          <cell r="B48" t="str">
            <v>4-05883</v>
          </cell>
          <cell r="F48" t="str">
            <v>Regular</v>
          </cell>
        </row>
        <row r="49">
          <cell r="B49" t="str">
            <v>4-05882</v>
          </cell>
          <cell r="F49" t="str">
            <v>Regular</v>
          </cell>
        </row>
        <row r="50">
          <cell r="B50" t="str">
            <v>4-05881</v>
          </cell>
          <cell r="F50" t="str">
            <v>Regular</v>
          </cell>
        </row>
        <row r="51">
          <cell r="B51" t="str">
            <v>4-05889</v>
          </cell>
          <cell r="F51" t="str">
            <v>Regular</v>
          </cell>
        </row>
        <row r="52">
          <cell r="B52" t="str">
            <v>4-05884</v>
          </cell>
          <cell r="F52" t="str">
            <v>Regular</v>
          </cell>
        </row>
        <row r="53">
          <cell r="B53" t="str">
            <v>4-05890</v>
          </cell>
          <cell r="F53" t="str">
            <v>Regular</v>
          </cell>
        </row>
        <row r="54">
          <cell r="B54" t="str">
            <v>4-05886</v>
          </cell>
          <cell r="F54" t="str">
            <v>Regular</v>
          </cell>
        </row>
        <row r="55">
          <cell r="B55" t="str">
            <v>4-05885</v>
          </cell>
          <cell r="F55" t="str">
            <v>Regular</v>
          </cell>
        </row>
        <row r="56">
          <cell r="B56" t="str">
            <v>4-05891</v>
          </cell>
          <cell r="F56" t="str">
            <v>Regular</v>
          </cell>
        </row>
        <row r="57">
          <cell r="B57" t="str">
            <v>4-05888</v>
          </cell>
          <cell r="F57" t="str">
            <v>Regular</v>
          </cell>
        </row>
        <row r="58">
          <cell r="B58" t="str">
            <v>4-05887</v>
          </cell>
          <cell r="F58" t="str">
            <v>Regular</v>
          </cell>
        </row>
        <row r="59">
          <cell r="B59" t="str">
            <v>4-09531</v>
          </cell>
          <cell r="F59" t="str">
            <v>Regular</v>
          </cell>
        </row>
        <row r="60">
          <cell r="B60" t="str">
            <v>4-05957</v>
          </cell>
          <cell r="F60" t="str">
            <v>Regular</v>
          </cell>
        </row>
        <row r="61">
          <cell r="B61" t="str">
            <v>4-05956</v>
          </cell>
          <cell r="F61" t="str">
            <v>Regular</v>
          </cell>
        </row>
        <row r="62">
          <cell r="B62" t="str">
            <v>4-05949</v>
          </cell>
          <cell r="F62" t="str">
            <v>Regular</v>
          </cell>
        </row>
        <row r="63">
          <cell r="B63" t="str">
            <v>4-05951</v>
          </cell>
          <cell r="F63" t="str">
            <v>Regular</v>
          </cell>
        </row>
        <row r="64">
          <cell r="B64" t="str">
            <v>4-05952</v>
          </cell>
          <cell r="F64" t="str">
            <v>Regular</v>
          </cell>
        </row>
        <row r="65">
          <cell r="B65" t="str">
            <v>4-05954</v>
          </cell>
          <cell r="F65" t="str">
            <v>Regular</v>
          </cell>
        </row>
        <row r="66">
          <cell r="B66" t="str">
            <v>4-05955</v>
          </cell>
          <cell r="F66" t="str">
            <v>Regular</v>
          </cell>
        </row>
        <row r="67">
          <cell r="B67" t="str">
            <v>4-05950</v>
          </cell>
          <cell r="F67" t="str">
            <v>Regular</v>
          </cell>
        </row>
        <row r="68">
          <cell r="B68" t="str">
            <v>4-05940</v>
          </cell>
          <cell r="F68" t="str">
            <v>Regular</v>
          </cell>
        </row>
        <row r="69">
          <cell r="B69" t="str">
            <v>4-05941</v>
          </cell>
          <cell r="F69" t="str">
            <v>Regular</v>
          </cell>
        </row>
        <row r="70">
          <cell r="B70" t="str">
            <v>4-09872</v>
          </cell>
          <cell r="F70" t="str">
            <v>Regular</v>
          </cell>
        </row>
        <row r="71">
          <cell r="B71" t="str">
            <v>4-09871</v>
          </cell>
          <cell r="F71" t="str">
            <v>Regular</v>
          </cell>
        </row>
        <row r="72">
          <cell r="B72" t="str">
            <v>4-09870</v>
          </cell>
          <cell r="F72" t="str">
            <v>Regular</v>
          </cell>
        </row>
        <row r="73">
          <cell r="B73" t="str">
            <v>4-09530</v>
          </cell>
          <cell r="F73" t="str">
            <v>Regular</v>
          </cell>
        </row>
        <row r="74">
          <cell r="B74" t="str">
            <v>4-09529</v>
          </cell>
          <cell r="F74" t="str">
            <v>Regular</v>
          </cell>
        </row>
        <row r="75">
          <cell r="B75" t="str">
            <v>4-08554</v>
          </cell>
          <cell r="F75" t="str">
            <v>Regular</v>
          </cell>
        </row>
        <row r="76">
          <cell r="B76" t="str">
            <v>4-05880</v>
          </cell>
          <cell r="F76" t="str">
            <v>Regular</v>
          </cell>
        </row>
        <row r="77">
          <cell r="B77" t="str">
            <v>4-05948</v>
          </cell>
          <cell r="F77" t="str">
            <v>Regular</v>
          </cell>
        </row>
        <row r="78">
          <cell r="B78" t="str">
            <v>4-05953</v>
          </cell>
          <cell r="F78" t="str">
            <v>Regular</v>
          </cell>
        </row>
      </sheetData>
      <sheetData sheetId="2" refreshError="1">
        <row r="9">
          <cell r="B9" t="str">
            <v>4-05250</v>
          </cell>
          <cell r="F9" t="str">
            <v>Regular</v>
          </cell>
        </row>
        <row r="10">
          <cell r="B10" t="str">
            <v>4-05245</v>
          </cell>
          <cell r="F10" t="str">
            <v>Regular</v>
          </cell>
        </row>
        <row r="11">
          <cell r="B11" t="str">
            <v>4-05249</v>
          </cell>
          <cell r="F11" t="str">
            <v>Regular</v>
          </cell>
        </row>
        <row r="12">
          <cell r="B12" t="str">
            <v>4-05251</v>
          </cell>
          <cell r="F12" t="str">
            <v>Regular</v>
          </cell>
        </row>
        <row r="13">
          <cell r="B13" t="str">
            <v>4-05877</v>
          </cell>
          <cell r="F13" t="str">
            <v>Regular</v>
          </cell>
        </row>
        <row r="14">
          <cell r="B14" t="str">
            <v>4-05876</v>
          </cell>
          <cell r="F14" t="str">
            <v>Regular</v>
          </cell>
        </row>
        <row r="15">
          <cell r="B15" t="str">
            <v>4-05875</v>
          </cell>
          <cell r="F15" t="str">
            <v>Regular</v>
          </cell>
        </row>
        <row r="16">
          <cell r="B16" t="str">
            <v>4-05874</v>
          </cell>
          <cell r="F16" t="str">
            <v>Regular</v>
          </cell>
        </row>
        <row r="17">
          <cell r="B17" t="str">
            <v>4-05873</v>
          </cell>
          <cell r="F17" t="str">
            <v>Regular</v>
          </cell>
        </row>
        <row r="18">
          <cell r="B18" t="str">
            <v>4-05978</v>
          </cell>
          <cell r="F18" t="str">
            <v>Regular</v>
          </cell>
        </row>
        <row r="19">
          <cell r="B19" t="str">
            <v>4-05977</v>
          </cell>
          <cell r="F19" t="str">
            <v>Regular</v>
          </cell>
        </row>
        <row r="20">
          <cell r="B20" t="str">
            <v>4-05976</v>
          </cell>
          <cell r="F20" t="str">
            <v>Regular</v>
          </cell>
        </row>
        <row r="21">
          <cell r="B21" t="str">
            <v>4-05975</v>
          </cell>
          <cell r="F21" t="str">
            <v>Regular</v>
          </cell>
        </row>
        <row r="22">
          <cell r="B22" t="str">
            <v>4-05979</v>
          </cell>
          <cell r="F22" t="str">
            <v>Regular</v>
          </cell>
        </row>
        <row r="23">
          <cell r="B23" t="str">
            <v>4-05974</v>
          </cell>
          <cell r="F23" t="str">
            <v>Regular</v>
          </cell>
        </row>
        <row r="24">
          <cell r="B24" t="str">
            <v>4-05973</v>
          </cell>
          <cell r="F24" t="str">
            <v>Regular</v>
          </cell>
        </row>
        <row r="25">
          <cell r="B25" t="str">
            <v>4-05972</v>
          </cell>
          <cell r="F25" t="str">
            <v>Regular</v>
          </cell>
        </row>
        <row r="26">
          <cell r="B26" t="str">
            <v>4-05971</v>
          </cell>
          <cell r="F26" t="str">
            <v>Regular</v>
          </cell>
        </row>
        <row r="27">
          <cell r="B27" t="str">
            <v>4-05969</v>
          </cell>
          <cell r="F27" t="str">
            <v>Regular</v>
          </cell>
        </row>
        <row r="28">
          <cell r="B28" t="str">
            <v>4-05970</v>
          </cell>
          <cell r="F28" t="str">
            <v>Regular</v>
          </cell>
        </row>
        <row r="29">
          <cell r="B29" t="str">
            <v>4-05872</v>
          </cell>
          <cell r="F29" t="str">
            <v>Regular</v>
          </cell>
        </row>
        <row r="30">
          <cell r="B30" t="str">
            <v>4-09634</v>
          </cell>
          <cell r="F30" t="str">
            <v>Regular</v>
          </cell>
        </row>
        <row r="31">
          <cell r="B31" t="str">
            <v>4-05980</v>
          </cell>
          <cell r="F31" t="str">
            <v>Regular</v>
          </cell>
        </row>
        <row r="32">
          <cell r="B32" t="str">
            <v>4-05914</v>
          </cell>
          <cell r="F32" t="str">
            <v>Regular</v>
          </cell>
        </row>
        <row r="33">
          <cell r="B33" t="str">
            <v>4-08566</v>
          </cell>
          <cell r="F33" t="str">
            <v>Regular</v>
          </cell>
        </row>
      </sheetData>
      <sheetData sheetId="3" refreshError="1">
        <row r="9">
          <cell r="B9" t="str">
            <v>4-05982</v>
          </cell>
          <cell r="F9" t="str">
            <v>Regular</v>
          </cell>
        </row>
        <row r="10">
          <cell r="B10" t="str">
            <v>4-05981</v>
          </cell>
        </row>
        <row r="11">
          <cell r="B11" t="str">
            <v>4-09826</v>
          </cell>
        </row>
        <row r="12">
          <cell r="B12" t="str">
            <v>4-09180</v>
          </cell>
        </row>
        <row r="13">
          <cell r="B13" t="str">
            <v>4-08570</v>
          </cell>
        </row>
      </sheetData>
      <sheetData sheetId="4" refreshError="1">
        <row r="9">
          <cell r="B9" t="str">
            <v>2-08138</v>
          </cell>
          <cell r="F9" t="str">
            <v>Regular</v>
          </cell>
        </row>
        <row r="10">
          <cell r="B10" t="str">
            <v>2-08143</v>
          </cell>
          <cell r="F10" t="str">
            <v>Regular</v>
          </cell>
        </row>
        <row r="11">
          <cell r="B11" t="str">
            <v>2-08141</v>
          </cell>
          <cell r="F11" t="str">
            <v>Regular</v>
          </cell>
        </row>
        <row r="12">
          <cell r="B12" t="str">
            <v>4-09563</v>
          </cell>
          <cell r="F12" t="str">
            <v>Regular</v>
          </cell>
        </row>
        <row r="13">
          <cell r="B13" t="str">
            <v>4-09562</v>
          </cell>
          <cell r="F13" t="str">
            <v>Regular</v>
          </cell>
        </row>
        <row r="14">
          <cell r="B14" t="str">
            <v>4-05985</v>
          </cell>
          <cell r="F14" t="str">
            <v>Regular</v>
          </cell>
        </row>
        <row r="15">
          <cell r="B15" t="str">
            <v>4-09753</v>
          </cell>
          <cell r="F15" t="str">
            <v>Regular</v>
          </cell>
        </row>
        <row r="16">
          <cell r="B16" t="str">
            <v>4-09752</v>
          </cell>
          <cell r="F16" t="str">
            <v>Regular</v>
          </cell>
        </row>
        <row r="17">
          <cell r="B17" t="str">
            <v>4-09751</v>
          </cell>
          <cell r="F17" t="str">
            <v>Regular</v>
          </cell>
        </row>
        <row r="18">
          <cell r="B18" t="str">
            <v>4-09750</v>
          </cell>
          <cell r="F18" t="str">
            <v>Regular</v>
          </cell>
        </row>
        <row r="19">
          <cell r="B19" t="str">
            <v>4-09749</v>
          </cell>
          <cell r="F19" t="str">
            <v>Regular</v>
          </cell>
        </row>
        <row r="20">
          <cell r="B20" t="str">
            <v>4-09748</v>
          </cell>
          <cell r="F20" t="str">
            <v>Regular</v>
          </cell>
        </row>
        <row r="21">
          <cell r="B21" t="str">
            <v>4-09747</v>
          </cell>
          <cell r="F21" t="str">
            <v>Regular</v>
          </cell>
        </row>
        <row r="22">
          <cell r="B22" t="str">
            <v>4-09626</v>
          </cell>
          <cell r="F22" t="str">
            <v>Regular</v>
          </cell>
        </row>
        <row r="23">
          <cell r="B23" t="str">
            <v>4-09629</v>
          </cell>
          <cell r="F23" t="str">
            <v>Regular</v>
          </cell>
        </row>
        <row r="24">
          <cell r="B24" t="str">
            <v>4-09628</v>
          </cell>
          <cell r="F24" t="str">
            <v>Regular</v>
          </cell>
        </row>
        <row r="25">
          <cell r="B25" t="str">
            <v>4-09627</v>
          </cell>
          <cell r="F25" t="str">
            <v>Regular</v>
          </cell>
        </row>
        <row r="26">
          <cell r="B26" t="str">
            <v>4-09557</v>
          </cell>
          <cell r="F26" t="str">
            <v>Regular</v>
          </cell>
        </row>
        <row r="27">
          <cell r="B27" t="str">
            <v>4-09556</v>
          </cell>
          <cell r="F27" t="str">
            <v>Regular</v>
          </cell>
        </row>
        <row r="28">
          <cell r="B28" t="str">
            <v>4-09555</v>
          </cell>
          <cell r="F28" t="str">
            <v>Regular</v>
          </cell>
        </row>
        <row r="29">
          <cell r="B29" t="str">
            <v>4-09554</v>
          </cell>
          <cell r="F29" t="str">
            <v>Regular</v>
          </cell>
        </row>
        <row r="30">
          <cell r="B30" t="str">
            <v>4-00319</v>
          </cell>
          <cell r="F30" t="str">
            <v>Regular</v>
          </cell>
        </row>
        <row r="31">
          <cell r="B31" t="str">
            <v>4-08656</v>
          </cell>
          <cell r="F31" t="str">
            <v>Regular</v>
          </cell>
        </row>
        <row r="32">
          <cell r="B32" t="str">
            <v>4-08620</v>
          </cell>
          <cell r="F32" t="str">
            <v>Regular</v>
          </cell>
        </row>
        <row r="33">
          <cell r="B33" t="str">
            <v>4-09625</v>
          </cell>
          <cell r="F33" t="str">
            <v>Regular</v>
          </cell>
        </row>
        <row r="34">
          <cell r="B34" t="str">
            <v>4-09624</v>
          </cell>
          <cell r="F34" t="str">
            <v>Regular</v>
          </cell>
        </row>
        <row r="35">
          <cell r="B35" t="str">
            <v>4-09623</v>
          </cell>
          <cell r="F35" t="str">
            <v>Regular</v>
          </cell>
        </row>
        <row r="36">
          <cell r="B36" t="str">
            <v>4-09622</v>
          </cell>
          <cell r="F36" t="str">
            <v>Regular</v>
          </cell>
        </row>
        <row r="37">
          <cell r="B37" t="str">
            <v>4-09561</v>
          </cell>
          <cell r="F37" t="str">
            <v>Regular</v>
          </cell>
        </row>
        <row r="38">
          <cell r="B38" t="str">
            <v>4-09560</v>
          </cell>
          <cell r="F38" t="str">
            <v>Regular</v>
          </cell>
        </row>
        <row r="39">
          <cell r="B39" t="str">
            <v>4-09559</v>
          </cell>
          <cell r="F39" t="str">
            <v>Regular</v>
          </cell>
        </row>
        <row r="40">
          <cell r="B40" t="str">
            <v>4-09558</v>
          </cell>
          <cell r="F40" t="str">
            <v>Regular</v>
          </cell>
        </row>
        <row r="41">
          <cell r="B41" t="str">
            <v>4-00124</v>
          </cell>
          <cell r="F41" t="str">
            <v>Regular</v>
          </cell>
        </row>
        <row r="42">
          <cell r="B42" t="str">
            <v>4-00025</v>
          </cell>
          <cell r="F42" t="str">
            <v>Regular</v>
          </cell>
        </row>
        <row r="43">
          <cell r="B43" t="str">
            <v>4-05101</v>
          </cell>
          <cell r="F43" t="str">
            <v>Regular</v>
          </cell>
        </row>
        <row r="44">
          <cell r="B44" t="str">
            <v>4-00531</v>
          </cell>
          <cell r="F44" t="str">
            <v>Regular</v>
          </cell>
        </row>
        <row r="45">
          <cell r="B45" t="str">
            <v>4-09570</v>
          </cell>
          <cell r="F45" t="str">
            <v>Regular</v>
          </cell>
        </row>
        <row r="46">
          <cell r="B46" t="str">
            <v>4-08568</v>
          </cell>
          <cell r="F46" t="str">
            <v>Regular</v>
          </cell>
        </row>
        <row r="47">
          <cell r="B47" t="str">
            <v>4-05139</v>
          </cell>
          <cell r="F47" t="str">
            <v>Regular</v>
          </cell>
        </row>
        <row r="48">
          <cell r="B48" t="str">
            <v>4-05141</v>
          </cell>
          <cell r="F48" t="str">
            <v>Regular</v>
          </cell>
        </row>
        <row r="49">
          <cell r="B49" t="str">
            <v>4-05143</v>
          </cell>
          <cell r="F49" t="str">
            <v>Regular</v>
          </cell>
        </row>
        <row r="50">
          <cell r="B50" t="str">
            <v>4-06544</v>
          </cell>
          <cell r="F50" t="str">
            <v>Regular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B3" t="str">
            <v>4-011363</v>
          </cell>
          <cell r="C3" t="str">
            <v>LUXOMETRO PROFESIONAL MARCA DELTAOHM MODELO HD2102.2 PROCEDENCIA ITALIA SERIE 23016240</v>
          </cell>
          <cell r="D3" t="str">
            <v>KARLA LORENA CAMACHO BARBA</v>
          </cell>
        </row>
        <row r="4">
          <cell r="B4" t="str">
            <v>4-011390</v>
          </cell>
          <cell r="C4" t="str">
            <v>CONSERVADOR DE LABORATORIO MARCA COOLERMED MODELO MSI390A SI PROCEDENCIA TURQUIA SERIE 390S001601072022A008</v>
          </cell>
        </row>
        <row r="5">
          <cell r="B5" t="str">
            <v>4-09394</v>
          </cell>
          <cell r="C5" t="str">
            <v>REFRIGERADOR - CONGELADOR MARCA CONSUL MOD CHA24B1 S/N:JJ7899987 PROCEDENCIA BRASIL CAPAC 220 LITROS CAPAC ALMACENAJE 135 KG</v>
          </cell>
        </row>
        <row r="6">
          <cell r="B6" t="str">
            <v>4-09393</v>
          </cell>
          <cell r="C6" t="str">
            <v>REFRIGERADOR - CONGELADOR MARCA CONSUL MOD CHA24B1 S/N:JJ7899987 PROCEDENCIA BRASIL CAPAC 220 LITROS CAPAC ALMACENAJE 135 KG.</v>
          </cell>
        </row>
        <row r="7">
          <cell r="B7" t="str">
            <v>4-011387</v>
          </cell>
          <cell r="C7" t="str">
            <v>EQUIPO PARA DETERMINACION DE CALIDAD DE GLUTEN MARCA ERKAYA MODELO GW 3200 PROCEDENCIA TURQUIA SERIE CEG 287</v>
          </cell>
        </row>
        <row r="8">
          <cell r="B8" t="str">
            <v>4-09398</v>
          </cell>
          <cell r="C8" t="str">
            <v>REFRACTOMETRO DE MANO MARCA KERN MODELO ORA 3HB SERIE QRB18A2873 PROCEDENCIA CHINA</v>
          </cell>
        </row>
        <row r="9">
          <cell r="B9" t="str">
            <v>4-09397</v>
          </cell>
          <cell r="C9" t="str">
            <v>REFRACTOMETRO DE MANO MARCA KERN MODELO ORA 3HB SERIE QRB18A2868 PROCEDENCIA CHINA</v>
          </cell>
        </row>
        <row r="10">
          <cell r="B10" t="str">
            <v>4-011397</v>
          </cell>
          <cell r="C10" t="str">
            <v>REFRACTOMETRO DIGITAL PORTATIL MARCA KRUESS MODELO DR301- 95 PROCEDENCIA ALEMANIA SERIE 2330112798</v>
          </cell>
        </row>
        <row r="11">
          <cell r="B11" t="str">
            <v>4-011371</v>
          </cell>
          <cell r="C11" t="str">
            <v>REFRACTOMETRO DIGITAL PORTATIL MARCA COMECTA MODELO NR-151 PROCEDENCIA ESPANA SERIE P8330</v>
          </cell>
        </row>
        <row r="12">
          <cell r="B12" t="str">
            <v>4-11645</v>
          </cell>
          <cell r="C12" t="str">
            <v>TITULADOR AUTOMATICO MARCA HANON MODELO T960 NUMERO DE SERIE T9428230038K PROCEDENCIA CHINA</v>
          </cell>
        </row>
        <row r="13">
          <cell r="B13" t="str">
            <v>4-011410</v>
          </cell>
          <cell r="C13" t="str">
            <v>PLACAS CALEFACTORAS MARCA DLAB MODELO HP 500-S PROCEDENCIA CHINA SERIE MU235AQ0000754</v>
          </cell>
        </row>
        <row r="14">
          <cell r="B14" t="str">
            <v>4-011411</v>
          </cell>
          <cell r="C14" t="str">
            <v>PLACAS CALEFACTORAS MARCA DLAB MODELO HP 500-S PROCEDENCIA CHINA SERIE MU235AQ0000755</v>
          </cell>
        </row>
        <row r="15">
          <cell r="B15" t="str">
            <v>4-11642</v>
          </cell>
          <cell r="C15" t="str">
            <v>MESA AGITADORA ORBITAL MARCA DLAB MODELO SK-O330-PRO NUMERO DE SERIE SC239AR0000172 PROCEDENCIA CHINA</v>
          </cell>
        </row>
        <row r="16">
          <cell r="B16" t="str">
            <v>4-11496</v>
          </cell>
          <cell r="C16" t="str">
            <v>EQUIPO PARA ENJUAGUE, LLENADO Y TAPADO DE BOTELLONES MARCA QMP MODELO QMP-M3-LA NUMERO DE SERIE QMP202208 PROCEDENCIA NACIONAL</v>
          </cell>
        </row>
        <row r="17">
          <cell r="B17" t="str">
            <v>4-011386</v>
          </cell>
          <cell r="C17" t="str">
            <v>ANALIZADOR INFRARROJO CERCANO POR TRANSMISION PARA GRANOS, SEMILLAS Y HARINAS MARCA INFRACOT MODELO SGRAIN PROCEDENCIA BULGARIA SERIE 7-23-0578-05</v>
          </cell>
        </row>
        <row r="18">
          <cell r="B18" t="str">
            <v>4-011367</v>
          </cell>
          <cell r="C18" t="str">
            <v>EQUIPO ANALIZADOR DE MISIONES MARCA CEYTRON MODELO NOVO 4S PROCEDENCIA USA SERIE 81002874</v>
          </cell>
        </row>
        <row r="19">
          <cell r="B19" t="str">
            <v>4-011364</v>
          </cell>
          <cell r="C19" t="str">
            <v>ANALIZADOR DE TEMPERATURA DE BULBO HUMEDO Y GLOBOTERMOMETRO MARCA DELTAOHM MODELO HD32.3TC PROCEDENCIA ITALIA SERIE 23016180</v>
          </cell>
        </row>
        <row r="20">
          <cell r="B20" t="str">
            <v>4-011361</v>
          </cell>
          <cell r="C20" t="str">
            <v>KIT DE SIMULACION 5S MARCA TIENDALEAN MODELO J04 NUMERO DE PROCEDENCIA ESPANA SERIE TLS50410231</v>
          </cell>
        </row>
        <row r="21">
          <cell r="B21" t="str">
            <v>4-011360</v>
          </cell>
          <cell r="C21" t="str">
            <v>KIT DE SIMULACION 5S MARCA TIENDALEAN MODELO J04 NUMERO DE PROCEDENCIA ESPANA SERIE TLS50410230</v>
          </cell>
        </row>
        <row r="22">
          <cell r="B22" t="str">
            <v>4-011359</v>
          </cell>
          <cell r="C22" t="str">
            <v>KIT DE SIMULACION DE MANUFACTURA ESBELTA MARCA LEANMAN MODELO FACTORY SIMULATION PROCEDENCIA REINO UNIDO SERIE FS-0345007</v>
          </cell>
        </row>
        <row r="23">
          <cell r="B23" t="str">
            <v>4-011358</v>
          </cell>
          <cell r="C23" t="str">
            <v>KIT DE SIMULACION DE MANUFACTURA ESBELTA MARCA LEANMAN MODELO FACTORY SIMULATION PROCEDENCIA REINO UNIDO SERIE FS-0345006</v>
          </cell>
        </row>
        <row r="24">
          <cell r="B24" t="str">
            <v>4-09391</v>
          </cell>
          <cell r="C24" t="str">
            <v>EMBUTIDORA MANUAL MARCA MAINCA MOD TP-5 S/N:F20500/L-FSB028254 PROCEDENCIA ESPANA CAPACIDAD 5 LITROS DE ACERO INOXIDABLE EMBUDOS DE 10 20 30 40 MM.</v>
          </cell>
        </row>
        <row r="25">
          <cell r="B25" t="str">
            <v>4-09390</v>
          </cell>
          <cell r="C25" t="str">
            <v>EMBUTIDORA MANUAL MARCA MAINCA MOD TP-5 S/N:F20500/L-FSB028220 PROCEDENCIA ESPANA CAPACIDAD 5 LITROS DE ACERO INOXIDABLE EMBUDOS DE 10 20 30 40 MM.</v>
          </cell>
        </row>
        <row r="26">
          <cell r="B26" t="str">
            <v>4-09389</v>
          </cell>
          <cell r="C26" t="str">
            <v>EMBUTIDORA MANUAL MARCA MAINCA MOD TP-5 S/N:F20500/L-FSB028217 PROCEDENCIA ESPANA CAPACIDAD 5 LITROS DE ACERO INOXIDABLE EMBUDOS DE 10 20 30 40 MM.</v>
          </cell>
        </row>
        <row r="27">
          <cell r="B27" t="str">
            <v>4-09392</v>
          </cell>
          <cell r="C27" t="str">
            <v>EMBUTIDORA MANUAL MARCA MAINCA MOD TP-5 S/N:F20500/L-FSA031781 PROCEDENCIA ESPANA CAPACIDAD 5 LITROS DE ACERO INOXIDABLE EMBUDOS DE 10 20 30 40 MM.</v>
          </cell>
        </row>
        <row r="28">
          <cell r="B28" t="str">
            <v>4-011396</v>
          </cell>
          <cell r="C28" t="str">
            <v>MACRO CENTRIFUGADORA MARCA DRAQELL MODELO TDZ5-WS PROCEDENCIA CHINA SERIE XX207XF324</v>
          </cell>
        </row>
        <row r="29">
          <cell r="B29" t="str">
            <v>4-11648</v>
          </cell>
          <cell r="C29" t="str">
            <v>CENTRIFUGA MARCA DLAB MODELO DM0636 NUMERO DE SERIE LT239BC0000064 PROCEDENCIA CHINA</v>
          </cell>
        </row>
        <row r="30">
          <cell r="B30" t="str">
            <v>4-11640</v>
          </cell>
          <cell r="C30" t="str">
            <v>BOMBA DE VACIO MARCA COMECTA MODELO N-86 NUMERO DE SERIE 215544552 PROCEDENCIA ESPANA</v>
          </cell>
        </row>
        <row r="31">
          <cell r="B31" t="str">
            <v>4-011394</v>
          </cell>
          <cell r="C31" t="str">
            <v>DISPOSITIVO DE SEDIMENTACION MARCA ERKAYA MODELO ZL 120 PROCEDENCIA TURQUIA SERIE EN0070</v>
          </cell>
        </row>
        <row r="32">
          <cell r="B32" t="str">
            <v>4-11646</v>
          </cell>
          <cell r="C32" t="str">
            <v>AGITADOR-VORTEX MARCA DLAB MODELO MX-S NUMERO DE SERIE VB232AS0008515 PROCEDENCIA CHINA</v>
          </cell>
        </row>
        <row r="33">
          <cell r="B33" t="str">
            <v>4-011378</v>
          </cell>
          <cell r="C33" t="str">
            <v>AGITADOR MAGNETICO CON CALEFACCION MARCA DLAB MODELO MS7-H550-PRO PROCEDENCIA CHINA SERIE MN232BC002426</v>
          </cell>
        </row>
        <row r="34">
          <cell r="B34" t="str">
            <v>4-11644</v>
          </cell>
          <cell r="C34" t="str">
            <v>AGITADOR MAGNETICO CON CALEFACCION MARCA DLAB MODELO MSS7-H550-PRO NUMERO DE SERIE MN227BC00002715 PROCEDENCIA CHINA</v>
          </cell>
        </row>
        <row r="35">
          <cell r="B35" t="str">
            <v>4-05830</v>
          </cell>
          <cell r="C35" t="str">
            <v>AGITADOR P/PRUEBAS PILOTO HAMILTON (VELOCIDAD VARIABLE ALTA, MEDIA Y BAJA, 220VOLTS.)</v>
          </cell>
        </row>
        <row r="36">
          <cell r="B36" t="str">
            <v>4-011395</v>
          </cell>
          <cell r="C36" t="str">
            <v>DISPOSITIVO DE AGITACION DE TAMIZ MARCA ERKAYA MODELO S200 PROCEDENCIA TURQUIA SERIE ES270</v>
          </cell>
        </row>
        <row r="37">
          <cell r="B37" t="str">
            <v>4-011406</v>
          </cell>
          <cell r="C37" t="str">
            <v>MULTIPARAMETRICO MARCA HORIBA MODELO PH 1200 PROCEDENCIA JAPON SERIE MSIP-REMH1X-032F-74W-G</v>
          </cell>
        </row>
        <row r="38">
          <cell r="B38" t="str">
            <v>4-011400</v>
          </cell>
          <cell r="C38" t="str">
            <v>TERMOMETRO DE PENETRACION MARCA TROTEC MODELO BT20 PROCEDENCIA ALEMANIA SERIE AGB22A3502</v>
          </cell>
        </row>
        <row r="39">
          <cell r="B39" t="str">
            <v>4-011402</v>
          </cell>
          <cell r="C39" t="str">
            <v>TERMOMETRO DE PENETRACION MARCA TROTEC MODELO BT20 PROCEDENCIA ALEMANIA SERIE AGB22A3491</v>
          </cell>
        </row>
        <row r="40">
          <cell r="B40" t="str">
            <v>4-011405</v>
          </cell>
          <cell r="C40" t="str">
            <v>TERMOMETRO INFRARROJO PARA ALIMENTOS MARCA TROTEC MODELO BP5F HERENCIA ALEMANIA SERIE 220400978</v>
          </cell>
        </row>
        <row r="41">
          <cell r="B41" t="str">
            <v>4-011404</v>
          </cell>
          <cell r="C41" t="str">
            <v>TERMOMETRO INFRARROJO PARA ALIMENTOS MARCA TROTEC MODELO BP5F HERENCIA ALEMANIA SERIE 220400970</v>
          </cell>
        </row>
        <row r="42">
          <cell r="B42" t="str">
            <v>4-011399</v>
          </cell>
          <cell r="C42" t="str">
            <v>TERMOMETRO DE PENETRACION MARCA TROTEC MODELO BT20 PROCEDENCIA ALEMANIA SERIE AGB22A3488</v>
          </cell>
        </row>
        <row r="43">
          <cell r="B43" t="str">
            <v>4-09400</v>
          </cell>
          <cell r="C43" t="str">
            <v>AMASADORA ESPIRAL MARCA CATANIA MOD SH40 PROCEDENCIA CHINA CAPACIDAD MAXIMA DE HARINA 16 KG DE ACERO INOXIDABLE TEMPORIZADOR DE VELOCIDAD LENTO-RAPIDO</v>
          </cell>
        </row>
        <row r="44">
          <cell r="B44" t="str">
            <v>4-011377</v>
          </cell>
          <cell r="C44" t="str">
            <v>ESPECTROFOTOMETRO UV/BIS DE DOBLE HAZ MARCA HANON MODELO I9 PROCEDENCIA CHINA SERIE G526210067A</v>
          </cell>
        </row>
        <row r="45">
          <cell r="B45" t="str">
            <v>4-011407</v>
          </cell>
          <cell r="C45" t="str">
            <v>BANO MARIA MARCA JP SELECTA MODELO PRECISDIG PROCEDENCIA ESPANA SERIE 683653</v>
          </cell>
        </row>
        <row r="46">
          <cell r="B46" t="str">
            <v>4-11651</v>
          </cell>
          <cell r="C46" t="str">
            <v>DESTILADOR DE NOTROGENO MARCA HANON MODELO K9840 NUMERO DE SERIE K4028270549 PROCEDENCIA CHINA</v>
          </cell>
        </row>
        <row r="47">
          <cell r="B47" t="str">
            <v>4-011391</v>
          </cell>
          <cell r="C47" t="str">
            <v>DESTILADOR DE AGUA MARCA MOLEWATER MODELO MOLGENE 610D PROCEDENCIA CHINA SERIE 2023-6-321</v>
          </cell>
        </row>
        <row r="48">
          <cell r="B48" t="str">
            <v>4-09238</v>
          </cell>
          <cell r="C48" t="str">
            <v>EQUIPO DE AIRE ACONDICIONADO TIPO DE 60000 BTU INVERTER MARCA COMFEE EVAPORADOR S/N: 2404216860179080160019 CONDENSADOR S/N: 2404216860279070160045</v>
          </cell>
        </row>
        <row r="49">
          <cell r="B49" t="str">
            <v>4-09219</v>
          </cell>
          <cell r="C49" t="str">
            <v>EQUIPO DE AIRE ACONDICIONADO TIPO DE 60000 BTU INVERTER MARCA COMFEE EVAPORADOR S/N: 2404216860179080160010 CONDENSADOR S/N: 2404216860279070160003</v>
          </cell>
        </row>
        <row r="50">
          <cell r="B50" t="str">
            <v>4-011370</v>
          </cell>
          <cell r="C50" t="str">
            <v>SISTEMA DE CALORIMETRO DE COMBUSTION MARCA BDS CALORIMETER MODELO CAL3K-S PROCEDENCIA SUDAFRICA SERIE 23000150</v>
          </cell>
        </row>
        <row r="51">
          <cell r="B51" t="str">
            <v>4-011388</v>
          </cell>
          <cell r="C51" t="str">
            <v>ESTUFA INCUBADORA PARA CULTIVOS MARCA JP SELECTA MODELO INCUBAT PROCEDENCIA ESPANA SERIE 675591</v>
          </cell>
        </row>
        <row r="52">
          <cell r="B52" t="str">
            <v>4-11632</v>
          </cell>
          <cell r="C52" t="str">
            <v>ESTUFA DE SECADO Y ESTERELIZACION MARCA JP SELECTA MODELO DIGITHEAT-TFT S/N 680092 PROCEDENCIA ESPANA</v>
          </cell>
        </row>
        <row r="53">
          <cell r="B53" t="str">
            <v>4-011385</v>
          </cell>
          <cell r="C53" t="str">
            <v>ESTUFA DE SECADO Y ESTERILIZACION MARCA JP SELECTA MODELO CONTERM PROCEDENCIA ESPANA SERIE 681051</v>
          </cell>
        </row>
        <row r="54">
          <cell r="B54" t="str">
            <v>4-011365</v>
          </cell>
          <cell r="C54" t="str">
            <v>ANEMOMETRO MARCA TROTEC MODELO BA16WP PROCEDENCIA ALEMANIA SERIE 22081558</v>
          </cell>
        </row>
        <row r="55">
          <cell r="B55" t="str">
            <v>4-011376</v>
          </cell>
          <cell r="C55" t="str">
            <v>BALANZA DE PRECISION MARCA RADWAG MODELO PS4500.X2. M PROCEDENCIA POLONIA SERIE 763572</v>
          </cell>
        </row>
        <row r="56">
          <cell r="B56" t="str">
            <v>4-011374</v>
          </cell>
          <cell r="C56" t="str">
            <v>BALANZA ANALITICA 0.1 MG MARCA RADWAG MODELO A S 310.R2 PLUS PROCEDENCIA POLONIA SERIE 747154</v>
          </cell>
        </row>
        <row r="57">
          <cell r="B57" t="str">
            <v>4-011373</v>
          </cell>
          <cell r="C57" t="str">
            <v>BALANZA ANALITICA 0.1 MG MARCA RADWAG MODELO A S 310.R2 PLUS PROCEDENCIA POLONIA SERIE 747147</v>
          </cell>
        </row>
        <row r="58">
          <cell r="B58" t="str">
            <v>4-011412</v>
          </cell>
          <cell r="C58" t="str">
            <v>BALANZA ANALITICA MODELO RADWAG MODELO AS 310.R2.PLUS PROCEDENCIA POLONIA SERIE 747152</v>
          </cell>
        </row>
        <row r="59">
          <cell r="B59" t="str">
            <v>4-11635</v>
          </cell>
          <cell r="C59" t="str">
            <v>BALANZA ANALITICA PROFESIONAL MARCA RADWAG MODELO AS 520,X2 PLUS S/N 766241 PROCEDENCIA POLONIA</v>
          </cell>
        </row>
        <row r="60">
          <cell r="B60" t="str">
            <v>4-011414</v>
          </cell>
          <cell r="C60" t="str">
            <v>BALANZA DE PRECISION DE 10 KG X 0,1G PARA INDUSTRIA ALIMENTARIA MARCA RADWAG MODELO WLC 30/F1/R PROCEDENCIA POLONIA SERIE 540950</v>
          </cell>
        </row>
        <row r="61">
          <cell r="B61" t="str">
            <v>4-011413</v>
          </cell>
          <cell r="C61" t="str">
            <v>BALANZA DE PRECISION DE 30 KG X 0,5G PARA INDUSTRIA ALIMENTARIA MARCA RADWAG MODELO WLC 30/F1/R PROCEDENCIA POLONIA SERIE 771938</v>
          </cell>
        </row>
        <row r="62">
          <cell r="B62" t="str">
            <v>4-11637</v>
          </cell>
          <cell r="C62" t="str">
            <v>BALANZA DE PRECISION MARCA RADWAG MODELO PS,4500.X2.M S/N 783757 PROCEDENCIA POLONIA</v>
          </cell>
        </row>
        <row r="63">
          <cell r="B63" t="str">
            <v>4-011383</v>
          </cell>
          <cell r="C63" t="str">
            <v>EXTRACTOR DE ACEITES ESENCIALES MARCA FIGMAY MODELO 6LITROS PROCEDENCIA ARGENTINA SERIE EXT-LF-0010123</v>
          </cell>
        </row>
        <row r="64">
          <cell r="B64" t="str">
            <v>4-011362</v>
          </cell>
          <cell r="C64" t="str">
            <v>SENOMETRO PROFESIONAL DE CLASE 2 MARCA DELTAO HM MODELO HD2010UC/A PROCEDENCIA ITALIA SERIE 23092957079</v>
          </cell>
        </row>
        <row r="65">
          <cell r="B65" t="str">
            <v>4-09642</v>
          </cell>
          <cell r="C65" t="str">
            <v>PLANTA DE TRATAMIENTO DE AGUA 700L/D MARCA HIDROTEX</v>
          </cell>
        </row>
        <row r="66">
          <cell r="B66" t="str">
            <v>4-11639</v>
          </cell>
          <cell r="C66" t="str">
            <v>DISPENSADOR DE ACIDOS 10-100 ML MARCA DLAB MODELO DISPENSMATE-PRO NUMERO DE SERIE GB211AD0000575 PROCEDENCIA CHINA</v>
          </cell>
        </row>
        <row r="67">
          <cell r="B67" t="str">
            <v>4-09399</v>
          </cell>
          <cell r="C67" t="str">
            <v>MARMITA DE LABORATORIO MARCA COMEX MOD 20 L DE ACERO INOXIDABLE CAPACIDAD 20 LITROS SISTEMA DE CALENTAMIENTO A GAS CON SOPLETES</v>
          </cell>
        </row>
        <row r="68">
          <cell r="B68" t="str">
            <v>4-11650</v>
          </cell>
          <cell r="C68" t="str">
            <v>SISTEMA DE DIGESTION-BLOQUE DIGESTOR MARCA HANON MODELO SH420F NUMERO DE SERIE SH528280216 PROCEDENCIA CHINA</v>
          </cell>
        </row>
        <row r="69">
          <cell r="B69" t="str">
            <v>4-11638</v>
          </cell>
          <cell r="C69" t="str">
            <v>PURIFICADOR DE AGUA MARCA HYDROLAB MODELO 10 PLUS S/N HT102308577331125 PLUS PROCEDENCIA POLONIA</v>
          </cell>
        </row>
        <row r="70">
          <cell r="B70" t="str">
            <v>4-11494</v>
          </cell>
          <cell r="C70" t="str">
            <v>LINEA DE PURIFICACION DE AGUA MARCA INDSOL MODELO RO-3L NUMERO DE SERIE IN2203 PROCEDENCIA NACIONAL</v>
          </cell>
        </row>
        <row r="71">
          <cell r="B71" t="str">
            <v>4-11497</v>
          </cell>
          <cell r="C71" t="str">
            <v>COMPROBADOR DE CALIDAD DE AGUA MULTIPARAMETROS MARCA HORIBA MODELO U52 NUMERO DE SERIE L8XGHPOB PROCEDENCIA JAPON</v>
          </cell>
        </row>
        <row r="72">
          <cell r="B72" t="str">
            <v>4-011384</v>
          </cell>
          <cell r="C72" t="str">
            <v>ROTAEVAPORADOR MARCA YAMATO MODELO RE-801 PROCEDENCIA JAPON SERIE 65900026</v>
          </cell>
        </row>
        <row r="73">
          <cell r="B73" t="str">
            <v>4-09388</v>
          </cell>
          <cell r="C73" t="str">
            <v>MOLINO DE CARNE MARCA MAINCA, MODELO PM-70 SERIEPM70183910 PROCEDENCIA ESPANA ACERO INOXIDABLE 18/10, PRODUCCION DE 170 KG/H</v>
          </cell>
        </row>
        <row r="74">
          <cell r="B74" t="str">
            <v>4-011393</v>
          </cell>
          <cell r="C74" t="str">
            <v>MOLINO DE LABORATORIO TIPO MARTILLO MARCA ERKAYA MODELO HM 210 PROCEDENCIA TURQUIA SERIE HB 153</v>
          </cell>
        </row>
        <row r="75">
          <cell r="B75" t="str">
            <v>4-011392</v>
          </cell>
          <cell r="C75" t="str">
            <v>MOLINO DE LABORATORIO TIPO RODILLO MARCA ERKAYA MODELO RM 1300 PROCEDENCIA TURQUIA SERIE C 305</v>
          </cell>
        </row>
        <row r="76">
          <cell r="B76" t="str">
            <v>4-11495</v>
          </cell>
          <cell r="C76" t="str">
            <v>LAVADOR DE BOTELLONES MARCA MECADBOL MODELO BOX 5000 T NUMERO DE SERIE MB512023 PROCEDENCIA NACIONAL</v>
          </cell>
        </row>
        <row r="77">
          <cell r="B77" t="str">
            <v>4-09857</v>
          </cell>
          <cell r="C77" t="str">
            <v>MONITOR MARCA LG MODELO 24MK430H S/206NTSU0K302 PANTALLA 24" -P2422H 1 2 (HDCP 1 4)VGA HDMI(HDCOP 1 4)USB 3 2 MOUSE OPTICO TECADO PHILIPS</v>
          </cell>
        </row>
        <row r="78">
          <cell r="B78" t="str">
            <v>4-011398</v>
          </cell>
          <cell r="C78" t="str">
            <v>MICROSCOPIO VERTICAL TRINOCULAR CON CAMARA MARCA MOTIC MODELO PANTHERA C2 PROCEDENCIA CANADA SERIE 22001161</v>
          </cell>
        </row>
        <row r="79">
          <cell r="B79" t="str">
            <v>4-09856</v>
          </cell>
          <cell r="C79" t="str">
            <v>CPU MARCA DEEPCOOL ARMADO CON PROSESADOR RYZON 5 S/LBMOCS09E7413XL 16GB RAM 256GB SSD 40GB</v>
          </cell>
        </row>
        <row r="80">
          <cell r="B80" t="str">
            <v>4-011389</v>
          </cell>
          <cell r="C80" t="str">
            <v>MEDIDOR DE HUMEDAD DE GRANOS PORTATIL MARCA KETT MODELO PM 450 PROCEDENCIA JAPON SERIE CD20493</v>
          </cell>
        </row>
        <row r="81">
          <cell r="B81" t="str">
            <v>4-11627</v>
          </cell>
          <cell r="C81" t="str">
            <v>MEDICION PORTATIL DE NUTRIENTES EN CULTIVOS MARCA HORIBA MODELO LAQUATWIN PORCEDENCIA CHINA S/N 4540565001511</v>
          </cell>
        </row>
        <row r="82">
          <cell r="B82" t="str">
            <v>4-11626</v>
          </cell>
          <cell r="C82" t="str">
            <v>MEDICION PORTATIL DE NUTRIENTES EN CULTIVOS MARCA HORIBA MODELO LAQUATWIN PORCEDENCIA CHINA S/N 4540565001510</v>
          </cell>
        </row>
        <row r="83">
          <cell r="B83" t="str">
            <v>4-011382</v>
          </cell>
          <cell r="C83" t="str">
            <v>MEDIDOR MULTIPARAMETRICO CON GPS MARCA HORIBA MODELO U52 PROCEDENCIA DE JAPON SERIE 12HRCC8V</v>
          </cell>
        </row>
        <row r="84">
          <cell r="B84" t="str">
            <v>4-11649</v>
          </cell>
          <cell r="C84" t="str">
            <v>HORNO MUFLA 1100¬C 10 LITROS MARCA SNOL MODELO 8.2/1100 LHM01 NUMERO DE SERIE 1602 PROCEDENCIA LITHUANIA</v>
          </cell>
        </row>
        <row r="85">
          <cell r="B85" t="str">
            <v>4-09401</v>
          </cell>
          <cell r="C85" t="str">
            <v>HORNO DE PANADERIA DE 4 BANDEJAS MARCA CATANIA MODELO H457A PROCEDENCIA CHINA, DE ACERO INOXIDBLE CAPACIDAD 57 LITROS, MEDIDAS: 0,60*0,59*0,56 MTS.</v>
          </cell>
        </row>
        <row r="86">
          <cell r="B86" t="str">
            <v>4-08569</v>
          </cell>
          <cell r="C86" t="str">
            <v>EQUIPO DE PROYECCION DATA DISPLAY MARCA CASIO MOD XJ-F20XN S/N:A995BBBY69-061431 CON TECNOLOGIA LASER LED CON CHIP DE 0,55" DLP DE 1,024X768 PIXELES</v>
          </cell>
        </row>
        <row r="87">
          <cell r="B87" t="str">
            <v>4-08567</v>
          </cell>
          <cell r="C87" t="str">
            <v>EQUIPO DE PROYECCION DATA DISPLAY MARCA CASIO MOD XJ-F20XN S/N:A995BBBY73-072898 CON TECNOLOGIA LASER LED CON CHIP DE 0,55" DLP DE 1,024X768 PIXELES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B3" t="str">
            <v>4-04983</v>
          </cell>
          <cell r="C3" t="str">
            <v>REFRACTOMETRO DIGITAL MARCA ATAGO, MOD: PAL-1 N/S 30415, COLOR BLANCO</v>
          </cell>
          <cell r="E3" t="str">
            <v>Regular</v>
          </cell>
        </row>
        <row r="4">
          <cell r="B4" t="str">
            <v>4-05804</v>
          </cell>
          <cell r="C4" t="str">
            <v>FOTOMETRO PORTATIL PREPROGRAMADO PARA ANALISIS QUIMICO DE AGUAS:S/N PT751YSI0415305 MARCA-YSI;MODELO-9500; PROCEDENCIA-INGLATERRA (UK).</v>
          </cell>
          <cell r="E4" t="str">
            <v>Regular</v>
          </cell>
        </row>
        <row r="5">
          <cell r="B5" t="str">
            <v>4-05803</v>
          </cell>
          <cell r="C5" t="str">
            <v>FOTOMETRO PORTATIL PREPROGRAMADO PARA ANALISIS QUIMICO DE AGUAS:S/N PT751YSI0415288 MARCA-YSI;MODELO-9500; PROCEDENCIA-INGLATERRA (UK).</v>
          </cell>
          <cell r="E5" t="str">
            <v>Regular</v>
          </cell>
        </row>
        <row r="6">
          <cell r="B6" t="str">
            <v>4-05378</v>
          </cell>
          <cell r="C6" t="str">
            <v>GPS MODELO GARMIN ETREX 20X/20. S/N: 470036800; ACCESORIOS: UN CABLE USB; UN MANUAL UN CD SOFWARE MAP SOURE.</v>
          </cell>
          <cell r="E6" t="str">
            <v>Regular</v>
          </cell>
        </row>
        <row r="7">
          <cell r="B7" t="str">
            <v>4-11629</v>
          </cell>
          <cell r="C7" t="str">
            <v>ANALISIS DE PARAMETROS NPK FOTOMETRICO MARCA STELZNER MODELO AMOLA S/N NPF3K4625 PROCEDENCIA ALEMANA</v>
          </cell>
          <cell r="E7" t="str">
            <v>Regular</v>
          </cell>
        </row>
        <row r="8">
          <cell r="B8" t="str">
            <v>4-05794</v>
          </cell>
          <cell r="C8" t="str">
            <v>KIT PARA OBTENCION DE MUESTRAS DE AGUAS:S/N - MARCA-FIELDMASTER Y WATERMARK;MODELO-KIT; PROCEDENCIA-CHINA Y USA.</v>
          </cell>
          <cell r="E8" t="str">
            <v>Regular</v>
          </cell>
        </row>
        <row r="9">
          <cell r="B9" t="str">
            <v>4-05793</v>
          </cell>
          <cell r="C9" t="str">
            <v>KIT PARA OBTENCION DE MUESTRAS DE AGUAS:S/N - MARCA-FIELDMASTER Y WATERMARK;MODELO-KIT; PROCEDENCIA-CHINA Y USA.</v>
          </cell>
          <cell r="E9" t="str">
            <v>Malo</v>
          </cell>
        </row>
        <row r="10">
          <cell r="B10" t="str">
            <v>4-05807</v>
          </cell>
          <cell r="C10" t="str">
            <v>EQUIPO PORTATIL MULTIPARAMETRICO PARA OXIGENO DISUELTO-SISTEMA OPTICO. S/N 15F101693 MARCA-YSI;MODELO-PROODO; PROCEDENCIA-USA.</v>
          </cell>
          <cell r="E10" t="str">
            <v>Regular</v>
          </cell>
        </row>
        <row r="11">
          <cell r="B11" t="str">
            <v>4-05806</v>
          </cell>
          <cell r="C11" t="str">
            <v>EQUIPO PORTATIL MULTIPARAMETRICO PARA OXIGENO DISUELTO-SISTEMA OPTICO. S/N 15F101692 MARCA-YSI;MODELO-PROODO; PROCEDENCIA-USA.</v>
          </cell>
          <cell r="E11" t="str">
            <v>Regular</v>
          </cell>
        </row>
        <row r="12">
          <cell r="B12" t="str">
            <v>4-05801</v>
          </cell>
          <cell r="C12" t="str">
            <v>EQUIPO PORTATIL SEMI-AUTOMATICO PARA ANALISIS DE PLOMO EN AGUAS):S/N PT40005151238 MARCA-PALINTEST;MODELO-SA1100; PROCEDENCIA-INGLATERRA.</v>
          </cell>
          <cell r="E12" t="str">
            <v>Regular</v>
          </cell>
        </row>
        <row r="13">
          <cell r="B13" t="str">
            <v>4-05802</v>
          </cell>
          <cell r="C13" t="str">
            <v>EQUIPO PORTATIL SEMI-AUTOMATICO PARA ANALISIS DE PLOMO EN AGUAS):S/N PT40005151236 MARCA-PALINTEST;MODELO-SA1100; PROCEDENCIA-INGLATERRA.</v>
          </cell>
          <cell r="E13" t="str">
            <v>Regular</v>
          </cell>
        </row>
        <row r="14">
          <cell r="B14" t="str">
            <v>4-05809</v>
          </cell>
          <cell r="C14" t="str">
            <v>EQUIPO PORTATIL MULTIPARAMETRICO (PH CONDUCTIVIDAD TEMPERATURA) S/N 15F103334 MARCA YSI MODELO PROFECIONAL PLUSS PROCEDENCIA-USA</v>
          </cell>
          <cell r="E14" t="str">
            <v>Regular</v>
          </cell>
        </row>
        <row r="15">
          <cell r="B15" t="str">
            <v>4-05808</v>
          </cell>
          <cell r="C15" t="str">
            <v>EQUIPO PORTATIL MULTIPARAMETRICO (PH CONDUCTIVIDAD TEMPERATURA) S/N 15F102421 MARCA-YSI MODELO PROFECIONAL PLUSS PROCEDENCIA-USA</v>
          </cell>
          <cell r="E15" t="str">
            <v>Regular</v>
          </cell>
        </row>
        <row r="16">
          <cell r="B16" t="str">
            <v>4-05813</v>
          </cell>
          <cell r="C16" t="str">
            <v>KIT PORTATIL PARA ANALISIS DE SUELO PROFESIONAL:S/N PTB75100615542 MARCA-PALINTEST;MODELO-SOILTEST 10; PROCEDENCIA-INGLATERRA (UK).</v>
          </cell>
          <cell r="E16" t="str">
            <v>Regular</v>
          </cell>
        </row>
        <row r="17">
          <cell r="B17" t="str">
            <v>4-05812</v>
          </cell>
          <cell r="C17" t="str">
            <v>KIT PORTATIL PARA ANALISIS DE SUELO PROFESIONAL:S/N PTB75000814313 MARCA-PALINTEST;MODELO-SOILTEST 10; PROCEDENCIA-INGLATERRA (UK).</v>
          </cell>
          <cell r="E17" t="str">
            <v>Regular</v>
          </cell>
        </row>
        <row r="18">
          <cell r="B18" t="str">
            <v>4-11630</v>
          </cell>
          <cell r="C18" t="str">
            <v>KIT PARA PREPARACION DE MUESTRAS DE SUELO MARCA STELZNER MODELO 1875 S/N 30001875 PROCEDENCIA ALEMANA</v>
          </cell>
          <cell r="E18" t="str">
            <v>Regular</v>
          </cell>
        </row>
        <row r="19">
          <cell r="B19" t="str">
            <v>4-11631</v>
          </cell>
          <cell r="C19" t="str">
            <v>LABORATORIO DE ANALISIS DE AGUA MARCA TRACE 2O MODELO HT1000 S/N 564523 PRODECENDIA INGLATERRA</v>
          </cell>
          <cell r="E19" t="str">
            <v>Regular</v>
          </cell>
        </row>
        <row r="20">
          <cell r="B20" t="str">
            <v>4-05821</v>
          </cell>
          <cell r="C20" t="str">
            <v>MACROCENTRIFUGADORA (HASTA 4000 RPM Y 16 TUBOS DE 15 ML) MARCA NAHITA, MODELO 2740 MEDIBAS.</v>
          </cell>
          <cell r="E20" t="str">
            <v>Regular</v>
          </cell>
        </row>
        <row r="21">
          <cell r="B21" t="str">
            <v>4-09601</v>
          </cell>
          <cell r="C21" t="str">
            <v>AGITADOR MAGNETICO DIGITAL CON CALENTADOR MSH-200</v>
          </cell>
          <cell r="E21" t="str">
            <v>Regular</v>
          </cell>
        </row>
        <row r="22">
          <cell r="B22" t="str">
            <v>4-09600</v>
          </cell>
          <cell r="C22" t="str">
            <v>AGITADOR MAGNETICO DIGITAL CON CALENTADOR MSH-200</v>
          </cell>
          <cell r="E22" t="str">
            <v>Regular</v>
          </cell>
        </row>
        <row r="23">
          <cell r="B23" t="str">
            <v>4-09599</v>
          </cell>
          <cell r="C23" t="str">
            <v>AGITADOR MAGNETICO DIGITAL CON CALENTADOR MSH-200</v>
          </cell>
          <cell r="E23" t="str">
            <v>Regular</v>
          </cell>
        </row>
        <row r="24">
          <cell r="B24" t="str">
            <v>4-11643</v>
          </cell>
          <cell r="C24" t="str">
            <v>AGITADOR MAGNETICO CON CALEFACCION MARCA DLAB MODELO MSS7-H550-PRO NUMERO DE SERIE MN227BC0000366 PROCEDENCIA CHINA</v>
          </cell>
          <cell r="E24" t="str">
            <v>Regular</v>
          </cell>
        </row>
        <row r="25">
          <cell r="B25" t="str">
            <v>4-05745</v>
          </cell>
          <cell r="C25" t="str">
            <v>HORNO DE ESTERILIZACION REG.SINGLE DISPLAY PANTALLA TACTIL CAPACIDAD 53 LITROS MARCA-MEMMERT MODELO-UN55 N¬DE SERIE B213.2770 GARANTIA DE 24 MESES.</v>
          </cell>
          <cell r="E25" t="str">
            <v>Regular</v>
          </cell>
        </row>
        <row r="26">
          <cell r="B26" t="str">
            <v>4-05820</v>
          </cell>
          <cell r="C26" t="str">
            <v>MUFLA DE 5.8 L Y 1200¬C:S/N 0151970201150619 MARCA-HERMOLYNE; MODELO-F48010; PROCEDENCIA-USA.</v>
          </cell>
          <cell r="E26" t="str">
            <v>Regular</v>
          </cell>
        </row>
        <row r="27">
          <cell r="B27" t="str">
            <v>4-05792</v>
          </cell>
          <cell r="C27" t="str">
            <v>CAMARAS IP CMP DOMO; MARCA: DAHUA; MODELO: DH-IPC-HDW4300SN; S/N 1G036E6PAX00073</v>
          </cell>
          <cell r="E27" t="str">
            <v>Regular</v>
          </cell>
        </row>
        <row r="28">
          <cell r="B28" t="str">
            <v>4-09195</v>
          </cell>
          <cell r="C28" t="str">
            <v>REFRIGERADOR LG TOP FREEZER CON MOTOR INVERTER COMPRESSOR Y CAPACIDAD TOTAL DE 180LT , GT21BP1</v>
          </cell>
          <cell r="E28" t="str">
            <v>Regular</v>
          </cell>
        </row>
        <row r="29">
          <cell r="B29" t="str">
            <v>4-04981</v>
          </cell>
          <cell r="C29" t="str">
            <v>BARRENO PARA MUESTRA DE SUELOS, MARCA SPECTRUM, MOD: J-24, COLOR PLATEADO</v>
          </cell>
          <cell r="E29" t="str">
            <v>Regular</v>
          </cell>
        </row>
        <row r="30">
          <cell r="B30" t="str">
            <v>4-05719</v>
          </cell>
          <cell r="C30" t="str">
            <v>JUEGO DE 3 BALANZAS DE PRESICION DE 0.001 A 200 GRS. (MARCA EXCELL NO. SERIE A06311957, A06311949, A06311954, CARG, TA2200900301)</v>
          </cell>
          <cell r="E30" t="str">
            <v>Malo</v>
          </cell>
        </row>
        <row r="31">
          <cell r="B31" t="str">
            <v>4-05718</v>
          </cell>
          <cell r="C31" t="str">
            <v>JUEGO DE 3 BALANZAS DE PRESICION DE 0.001 A 200 GRS. (MARCA EXCELL NO. SERIE A06311957, A06311949, A06311954, CARG, TA2200900301)</v>
          </cell>
          <cell r="E31" t="str">
            <v>Malo</v>
          </cell>
        </row>
        <row r="32">
          <cell r="B32" t="str">
            <v>4-05695</v>
          </cell>
          <cell r="C32" t="str">
            <v>BALANZA DE PRECISION (4500X0.01G) MARCA ADAM, MODELO PGW 4502I COLOR BLANCO CON CARGADOR SN + AE446L490.</v>
          </cell>
          <cell r="E32" t="str">
            <v>Regular</v>
          </cell>
        </row>
        <row r="33">
          <cell r="B33" t="str">
            <v>4-05805</v>
          </cell>
          <cell r="C33" t="str">
            <v>ESTUFA DE CULTIVO (CAPACIDAD 30L. TEMP. HASTA 80¬C.) MARCA NAHITA, MODELO 636 PLUS.</v>
          </cell>
          <cell r="E33" t="str">
            <v>Regular</v>
          </cell>
        </row>
        <row r="34">
          <cell r="B34" t="str">
            <v>4-05797</v>
          </cell>
          <cell r="C34" t="str">
            <v>PH METRO DE BOLSILLO (PH Y TEMPERATURA):S/N JC007735 MARCA-YSI;MODELO-PH10A; PROCEDENCIA-CHINA.</v>
          </cell>
          <cell r="E34" t="str">
            <v>Regular</v>
          </cell>
        </row>
        <row r="35">
          <cell r="B35" t="str">
            <v>4-05800</v>
          </cell>
          <cell r="C35" t="str">
            <v>PH METRO DE BOLSILLO (PH Y TEMPERATURA):S/N JC007733 MARCA-YSI;MODELO-PH10A; PROCEDENCIA-CHINA.</v>
          </cell>
          <cell r="E35" t="str">
            <v>Regular</v>
          </cell>
        </row>
        <row r="36">
          <cell r="B36" t="str">
            <v>4-05798</v>
          </cell>
          <cell r="C36" t="str">
            <v>PH METRO DE BOLSILLO (PH Y TEMPERATURA):S/N JC007732 MARCA-YSI;MODELO-PH10A; PROCEDENCIA-CHINA.</v>
          </cell>
          <cell r="E36" t="str">
            <v>Regular</v>
          </cell>
        </row>
        <row r="37">
          <cell r="B37" t="str">
            <v>4-05799</v>
          </cell>
          <cell r="C37" t="str">
            <v>PH METRO DE BOLSILLO (PH Y TEMPERATURA):S/N JC007680 MARCA-YSI;MODELO-PH10A; PROCEDENCIA-CHINA.</v>
          </cell>
          <cell r="E37" t="str">
            <v>Regular</v>
          </cell>
        </row>
        <row r="38">
          <cell r="B38" t="str">
            <v>4-11657</v>
          </cell>
          <cell r="C38" t="str">
            <v>INFILTROMETRO MARCA METERGROUP MODELO MINIDISK NUMERO DE SERIE 224227007A PROCEDENCIA EEUU</v>
          </cell>
          <cell r="D38" t="str">
            <v>MARIA RENE FLORES URZAGASTE</v>
          </cell>
          <cell r="E38" t="str">
            <v>Regular</v>
          </cell>
        </row>
        <row r="39">
          <cell r="B39" t="str">
            <v>4-11656</v>
          </cell>
          <cell r="C39" t="str">
            <v>INFILTROMETRO MARCA METERGROUP MODELO MINIDISK NUMERO DE SERIE 224227003A PROCEDENCIA EEUU</v>
          </cell>
          <cell r="E39" t="str">
            <v>Regular</v>
          </cell>
        </row>
        <row r="40">
          <cell r="B40" t="str">
            <v>4-09598</v>
          </cell>
          <cell r="C40" t="str">
            <v>SONOMETRO PORTATIL</v>
          </cell>
          <cell r="E40" t="str">
            <v>Regular</v>
          </cell>
        </row>
        <row r="41">
          <cell r="B41" t="str">
            <v>4-05814</v>
          </cell>
          <cell r="C41" t="str">
            <v>ESTERILIZADOR TIPO OLLA PARA 24 LITROS ELECTRICA COLOR PLATEADO</v>
          </cell>
          <cell r="E41" t="str">
            <v>Regular</v>
          </cell>
        </row>
        <row r="42">
          <cell r="B42" t="str">
            <v>4-05815</v>
          </cell>
          <cell r="C42" t="str">
            <v>ESTERILIZADOR TIPO OLLA PARA 24 LITROS ELECTRICA COLOR PLATEADO</v>
          </cell>
          <cell r="E42" t="str">
            <v>Regular</v>
          </cell>
        </row>
        <row r="43">
          <cell r="B43" t="str">
            <v>4-11655</v>
          </cell>
          <cell r="C43" t="str">
            <v>SONDAS DE MUESTREO DE SUELO MARCA SPECTRUM MODELO SOIL SAMPLER KIT NUMERO DE SERIE 52321 PROCEDENCIA EEUU</v>
          </cell>
          <cell r="E43" t="str">
            <v>Regular</v>
          </cell>
        </row>
        <row r="44">
          <cell r="B44" t="str">
            <v>4-05379</v>
          </cell>
          <cell r="C44" t="str">
            <v>MACROSCOPIO MARCA SPECTRUM, MOD: 45 WITHPOUCH, COLOR NEGRO</v>
          </cell>
          <cell r="E44" t="str">
            <v>Regular</v>
          </cell>
        </row>
        <row r="45">
          <cell r="B45" t="str">
            <v>4-11652</v>
          </cell>
          <cell r="C45" t="str">
            <v>CURVAS DE LIBERACION DE HUMEDAD DEL SUELO MARCA METERGROUP MODELO HYPROP 2 NUMERO DE SERIE 3531 PROCEDENCIA EEUU</v>
          </cell>
          <cell r="E45" t="str">
            <v>Regular</v>
          </cell>
        </row>
        <row r="46">
          <cell r="B46" t="str">
            <v>4-011659</v>
          </cell>
          <cell r="C46" t="str">
            <v>TERMO DESCONGELADOR</v>
          </cell>
          <cell r="E46" t="str">
            <v>Regular</v>
          </cell>
        </row>
        <row r="47">
          <cell r="B47" t="str">
            <v>4-011658</v>
          </cell>
          <cell r="C47" t="str">
            <v>TERMO CRIOGENICO XC - 34</v>
          </cell>
          <cell r="E47" t="str">
            <v>Regular</v>
          </cell>
        </row>
        <row r="48">
          <cell r="B48" t="str">
            <v>4-04982</v>
          </cell>
          <cell r="C48" t="str">
            <v>MEDIDOR DE HUMEDAD DE GRANOS, MARCA: TESMA, MOD: TESMACAMPO2, N/S H30412, COLOR AZUL</v>
          </cell>
          <cell r="E48" t="str">
            <v>Regular</v>
          </cell>
        </row>
        <row r="49">
          <cell r="B49" t="str">
            <v>4-01132</v>
          </cell>
          <cell r="C49" t="str">
            <v>MEDIDOR DE HUMEDAD DE SUELOS, MARCA, SPECTRUM, MOD: TDR 300, N/S 13539 COLOR VINO/MORADO</v>
          </cell>
          <cell r="E49" t="str">
            <v>Regular</v>
          </cell>
        </row>
        <row r="50">
          <cell r="B50" t="str">
            <v>4-08175</v>
          </cell>
          <cell r="C50" t="str">
            <v>SILLON SEMI EJECUTIVO COLOR NEGRO, TAPIZ TELA EN LA SENTADERA Y ESPALDAR TIPO MALLA</v>
          </cell>
          <cell r="E50" t="str">
            <v>Regular</v>
          </cell>
        </row>
        <row r="51">
          <cell r="B51" t="str">
            <v>4-05819</v>
          </cell>
          <cell r="C51" t="str">
            <v>MICROSCOPIO BONOCULAR MOD. BM 120 S/N 0000880 MARCA BOECO-GERMANY, COLOR GRIS METALICO</v>
          </cell>
          <cell r="E51" t="str">
            <v>Regular</v>
          </cell>
        </row>
        <row r="52">
          <cell r="B52" t="str">
            <v>4-05817</v>
          </cell>
          <cell r="C52" t="str">
            <v>MICROSCOPIO BONOCULAR MOD. BM 120 S/N 0000832 MARCA BOECO-GERMANY, COLOR GRIS METALICO</v>
          </cell>
          <cell r="E52" t="str">
            <v>Regular</v>
          </cell>
        </row>
        <row r="53">
          <cell r="B53" t="str">
            <v>4-05816</v>
          </cell>
          <cell r="C53" t="str">
            <v>MICROSCOPIO BINOCULAR ACROMATICO, REVOLVER CUADRUPLE, MARCA ZURI, MODELO 122/107 COLOR BLANCO SN¬ C86750.</v>
          </cell>
          <cell r="E53" t="str">
            <v>Regular</v>
          </cell>
        </row>
        <row r="54">
          <cell r="B54" t="str">
            <v>4-05818</v>
          </cell>
          <cell r="C54" t="str">
            <v>MICROSCOPIO BINOCULAR ACROMATICO, REVOLVER CUADRUPLE, MARCA ZURI, MODELO 122/107 COLOR BLANCO SN¬ 50122107</v>
          </cell>
          <cell r="E54" t="str">
            <v>Regular</v>
          </cell>
        </row>
        <row r="55">
          <cell r="B55" t="str">
            <v>4-05651</v>
          </cell>
          <cell r="C55" t="str">
            <v>EXTINTOR MANUAL CON GAS CARBONICO, COLOR ROJO DE 4 KG, SOPORTE Y SE­ALIZACION. GARANTIA DE 12 MESES. EXTINTORES COLOR ROJO</v>
          </cell>
          <cell r="E55" t="str">
            <v>Regular</v>
          </cell>
        </row>
        <row r="56">
          <cell r="B56" t="str">
            <v>4-05229</v>
          </cell>
          <cell r="C56" t="str">
            <v>IMPRESORA EPSON MULTIFUNCION L355 COLOR NEGRO SERIE: S42K161960, CABLE USB, CABLE DE ALIMENTACION Y MANUAL DE USUARIO</v>
          </cell>
          <cell r="E56" t="str">
            <v>Regular</v>
          </cell>
        </row>
        <row r="57">
          <cell r="B57" t="str">
            <v>4-05811</v>
          </cell>
          <cell r="C57" t="str">
            <v>FLUJOMETRO PARA AFORO DE RIOS Y CANALES DE RIEGO:S/N - MARCA-JDC;MODELO-FLOWATCH; PROCEDENCIA-SUIZA.</v>
          </cell>
          <cell r="E57" t="str">
            <v>Malo</v>
          </cell>
        </row>
        <row r="58">
          <cell r="B58" t="str">
            <v>4-05810</v>
          </cell>
          <cell r="C58" t="str">
            <v>FLUJOMETRO PARA AFORO DE RIOS Y CANALES DE RIEGO:S/N - MARCA-JDC;MODELO-FLOWATCH; PROCEDENCIA-SUIZA.</v>
          </cell>
          <cell r="E58" t="str">
            <v>Regular</v>
          </cell>
        </row>
        <row r="59">
          <cell r="B59" t="str">
            <v>4-09590</v>
          </cell>
          <cell r="C59" t="str">
            <v>HI 98331 MEDIDOR CE Y T DIRECTO EN SUELO GROLINE COLOR BLANCO ELECT/SONDA 114MM DE PENETRACION DE ACERO INOX PESO 74GR (2.4OZ) DIMENSIONES 50X196X21MM</v>
          </cell>
          <cell r="E59" t="str">
            <v>Regular</v>
          </cell>
        </row>
        <row r="60">
          <cell r="B60" t="str">
            <v>4-09589</v>
          </cell>
          <cell r="C60" t="str">
            <v>HI 98331 MEDIDOR CE Y T DIRECTO EN SUELO GROLINE COLOR BLANCO ELECT/SONDA 114MM DE PENETRACION DE ACERO INOX PESO 74GR (2.4OZ) DIMENSIONES 50X196X21MM</v>
          </cell>
          <cell r="E60" t="str">
            <v>Regular</v>
          </cell>
        </row>
        <row r="61">
          <cell r="B61" t="str">
            <v>4-11628</v>
          </cell>
          <cell r="C61" t="str">
            <v>MEDICION DE PARAMETRO NUTRICIONALES MARCA STEP SYSTEMS GMBH MODELO COMBI 5000 S/N 931323</v>
          </cell>
          <cell r="E61" t="str">
            <v>Regular</v>
          </cell>
        </row>
        <row r="62">
          <cell r="B62" t="str">
            <v>4-11654</v>
          </cell>
          <cell r="C62" t="str">
            <v>MEDICION DE HUMEDAD DE SUELOS MARCA SPECTRUM MODELO FIELDSCOUT NUMERO DE SERIE T35013439 PROCEDENCIA EEUU</v>
          </cell>
          <cell r="E62" t="str">
            <v>Regular</v>
          </cell>
        </row>
        <row r="63">
          <cell r="B63" t="str">
            <v>4-05796</v>
          </cell>
          <cell r="C63" t="str">
            <v>CONDUCTIMETRO DE BOLSILLO (CONDUCTIVIDAD, TDS Y TEMPERATURA):S/N JC00524 MARCA-YSI;MODELO-EC30A; PROCEDENCIA-CHINA.</v>
          </cell>
          <cell r="E63" t="str">
            <v>Regular</v>
          </cell>
        </row>
        <row r="64">
          <cell r="B64" t="str">
            <v>4-05795</v>
          </cell>
          <cell r="C64" t="str">
            <v>CONDUCTIMETRO DE BOLSILLO (CONDUCTIVIDAD, TDS Y TEMPERATURA):S/N JC00515 MARCA-YSI;MODELO-EC30A; PROCEDENCIA-CHINA.</v>
          </cell>
          <cell r="E64" t="str">
            <v>Regular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B3" t="str">
            <v>4-09855</v>
          </cell>
          <cell r="C3" t="str">
            <v>COMP_PORTATIL MARCA DELL SERIE N¬ CWDWZT3 MEMORIA DE 8GB DISCO DURO 256GBSSD AHCI SATA ROCESADOR 5 3 4PANTALLA IPS HD 15 6 CON CARGADOR</v>
          </cell>
          <cell r="E3" t="str">
            <v>Regular</v>
          </cell>
        </row>
        <row r="4">
          <cell r="B4" t="str">
            <v>4-09516</v>
          </cell>
          <cell r="C4" t="str">
            <v>ENTRENADOR DEL CICLO DE REFRIGERACION MARCA: KTENG MODELO: KTE1000BA SERIE: KTE-1000BA PROCEDENCIA COREA</v>
          </cell>
          <cell r="E4" t="str">
            <v>Regular</v>
          </cell>
        </row>
        <row r="5">
          <cell r="B5" t="str">
            <v>4-09909</v>
          </cell>
          <cell r="C5" t="str">
            <v>TORNO PARA METAL MARCA:LQ LUSQTOFF MODELO:TBL-25-700 TAMA­O 700MM POTENCIA 750W PESO:150KG MATERIAL METAL:COLOR NARANJA</v>
          </cell>
          <cell r="E5" t="str">
            <v>Regular</v>
          </cell>
        </row>
        <row r="6">
          <cell r="B6" t="str">
            <v>4-09620</v>
          </cell>
          <cell r="C6" t="str">
            <v>GPS PARA VEHICULO VOLTAJE DE ALIMENTACION DE 5A35DVC C/INDICADOR LED MEMORIA PARA 2000 PUNTOS DE FRONTERA PROTECCION IP 54</v>
          </cell>
          <cell r="E6" t="str">
            <v>Regular</v>
          </cell>
        </row>
        <row r="7">
          <cell r="B7" t="str">
            <v>4-09619</v>
          </cell>
          <cell r="C7" t="str">
            <v>GPS PARA VEHICULO VOLTAJE DE ALIMENTACION DE 5A35DVC C/INDICADOR LED MEMORIA PARA 2000 PUNTOS DE FRONTERA TEM.DE 40A100¬C</v>
          </cell>
          <cell r="E7" t="str">
            <v>Regular</v>
          </cell>
        </row>
        <row r="8">
          <cell r="B8" t="str">
            <v>4-09618</v>
          </cell>
          <cell r="C8" t="str">
            <v>GPS PARA VEHICULO VOLTAJE DE ALIMENTACION DE 5A35DVC C/INDICADOR LED MEMORIA PARA 2000 PUNTOS DE FRONTERA TEM.DE 40A100¬C PROTECCION IP 54</v>
          </cell>
          <cell r="E8" t="str">
            <v>Regular</v>
          </cell>
        </row>
        <row r="9">
          <cell r="B9" t="str">
            <v>4-09617</v>
          </cell>
          <cell r="C9" t="str">
            <v>GPS VOLTAJE DE ALIMENTACION DE5V VELOCIDAD 515M/S-1854KM/H C/IND.LED MEMORIA 2000 PUNTOS EN FRONTERA TEMP.40A100¬ CARGA SOLAR DE 1.2WATTS</v>
          </cell>
          <cell r="E9" t="str">
            <v>Regular</v>
          </cell>
        </row>
        <row r="10">
          <cell r="B10" t="str">
            <v>4-09616</v>
          </cell>
          <cell r="C10" t="str">
            <v>GPS VOLTAJE DE ALIMENTACION DE5V VELOCIDAD 515M/S-1854KM/H C/IND.LED MEMORIA 2000 PUNTOS EN FRONTERA TEMP.40A100¬ CARGA SOLAR</v>
          </cell>
          <cell r="E10" t="str">
            <v>Regular</v>
          </cell>
        </row>
        <row r="11">
          <cell r="B11" t="str">
            <v>4-09615</v>
          </cell>
          <cell r="C11" t="str">
            <v>GPS VOLTAJE DE ALIMENTACION DE5V VELOCIDAD 515M/S-1854KM/H C/IND.LED MEMORIA 2000 PUNTOS EN FRONTERA CARGA SOLAR DE 1.2WATTS PROTECION IP55</v>
          </cell>
          <cell r="E11" t="str">
            <v>Regular</v>
          </cell>
        </row>
        <row r="12">
          <cell r="B12" t="str">
            <v>4-011369</v>
          </cell>
          <cell r="C12" t="str">
            <v>KIT DE HERRAMIENTAS DE MEDICION DIGITAL MARCA ULTRA PRAZISION MODELO 6850 201 PROCEDENCIA ALEMANIA SERIE UP68523010</v>
          </cell>
          <cell r="E12" t="str">
            <v>Regular</v>
          </cell>
        </row>
        <row r="13">
          <cell r="B13" t="str">
            <v>4-09188</v>
          </cell>
          <cell r="C13" t="str">
            <v>ESMERIL ELECTRICO N¬ DE PARTE GTT44567 SERIE: NY167894</v>
          </cell>
          <cell r="E13" t="str">
            <v>Regular</v>
          </cell>
        </row>
        <row r="14">
          <cell r="B14" t="str">
            <v>4-09179</v>
          </cell>
          <cell r="C14" t="str">
            <v>RETIFICADORA ELECTRICA N¬ DE PARTE GGI55778 SERIE: GTR5676</v>
          </cell>
          <cell r="E14" t="str">
            <v>Regular</v>
          </cell>
        </row>
        <row r="15">
          <cell r="B15" t="str">
            <v>4-09177</v>
          </cell>
          <cell r="C15" t="str">
            <v>TALADRO MANUAL MARCA BOSH N¬ DE PARTE TTY454677 SERIE: YY156781</v>
          </cell>
          <cell r="E15" t="str">
            <v>Regular</v>
          </cell>
        </row>
        <row r="16">
          <cell r="B16" t="str">
            <v>4-09176</v>
          </cell>
          <cell r="C16" t="str">
            <v>TALADRO DE BANCO MARCA TOYOMAK N¬ PARTE ERT335578 SERIE: TTT45677</v>
          </cell>
          <cell r="E16" t="str">
            <v>Regular</v>
          </cell>
        </row>
        <row r="17">
          <cell r="B17" t="str">
            <v>4-07155</v>
          </cell>
          <cell r="C17" t="str">
            <v>GENERADOR DE LUZ, MATERIAL METALICO, COLOR NEGRO NARANJA, MARCA AMAHA, MODELO LT5000B-6-LPG, GENERADOR DE LUZ DE 3,2 KW, A GASOLINA Y GLP</v>
          </cell>
          <cell r="E17" t="str">
            <v>Regular</v>
          </cell>
        </row>
        <row r="18">
          <cell r="B18" t="str">
            <v>4-011368</v>
          </cell>
          <cell r="C18" t="str">
            <v>TERMOMETRO INFRARROJO PROFESIONAL MARCA TROTEC MODELO TP10 PROCEDENCIA ALEMANIA SERIE 210321779</v>
          </cell>
          <cell r="E18" t="str">
            <v>Regular</v>
          </cell>
        </row>
        <row r="19">
          <cell r="B19" t="str">
            <v>4-011403</v>
          </cell>
          <cell r="C19" t="str">
            <v>TERMOMETRO INFRARROJO PROFESIONAL MARCA TROTEC MODELO BT10 PROCEDENCIA ALEMANIA SERIE 210321801</v>
          </cell>
          <cell r="E19" t="str">
            <v>Regular</v>
          </cell>
        </row>
        <row r="20">
          <cell r="B20" t="str">
            <v>4-09411</v>
          </cell>
          <cell r="C20" t="str">
            <v>EQUIPO DE SECADO POR CONVECCION MARCA: GUNT MODELO: CE130 SERIE: 234077 PROCEDENCIA ALEMANA</v>
          </cell>
          <cell r="E20" t="str">
            <v>Regular</v>
          </cell>
        </row>
        <row r="21">
          <cell r="B21" t="str">
            <v>4-05939</v>
          </cell>
          <cell r="C21" t="str">
            <v>FUENTE REGULABLE DE CORRIENTE ALTERNA REGULABLE, DE 0,50V 5 AMP.</v>
          </cell>
          <cell r="E21" t="str">
            <v>Regular</v>
          </cell>
        </row>
        <row r="22">
          <cell r="B22" t="str">
            <v>4-09178</v>
          </cell>
          <cell r="C22" t="str">
            <v>AMOLADORA CON DISCO DE 7 PULGADAS MARCA BOSH N¬ DE PARTE GYY44478 SERIE: NUY5647</v>
          </cell>
          <cell r="E22" t="str">
            <v>Regular</v>
          </cell>
        </row>
        <row r="23">
          <cell r="B23" t="str">
            <v>4-09168</v>
          </cell>
          <cell r="C23" t="str">
            <v>MOTOR DE DIESEL ESTACIONARIO A DIESEL DE 4 TIEMPOS DE 3600 RPM 4,7 HP DE POTENCIA 1 PISTON REFRIGERADO POR AIRE N¬ DE PARTE WTR4563 S/N:RRJ54778</v>
          </cell>
          <cell r="E23" t="str">
            <v>Regular</v>
          </cell>
        </row>
        <row r="24">
          <cell r="B24" t="str">
            <v>4-09218</v>
          </cell>
          <cell r="C24" t="str">
            <v>EQUIPO DE AIRE ACONDICIONADO TIPO DE 60000 BTU INVERTER MARCA COMFEE EVAPORADOR S/N: 2404216860179080160035 CONDENSADOR S/N: 2404216860279070160047</v>
          </cell>
          <cell r="E24" t="str">
            <v>Regular</v>
          </cell>
        </row>
        <row r="25">
          <cell r="B25" t="str">
            <v>4-09221</v>
          </cell>
          <cell r="C25" t="str">
            <v>EQUIPO DE AIRE ACONDICIONADO TIPO DE 60000 BTU INVERTER MARCA COMFEE EVAPORADOR S/N: 2404216860179080160034 CONDENSADOR S/N: 2404216860279070160011</v>
          </cell>
          <cell r="E25" t="str">
            <v>Regular</v>
          </cell>
        </row>
        <row r="26">
          <cell r="B26" t="str">
            <v>4-011366</v>
          </cell>
          <cell r="C26" t="str">
            <v>ANEMOMETRO MARCA TROTEC MODELO BA16WP PROCEDENCIA ALEMANIA SERIE 22081538</v>
          </cell>
          <cell r="E26" t="str">
            <v>Regular</v>
          </cell>
        </row>
        <row r="27">
          <cell r="B27" t="str">
            <v>2-00996</v>
          </cell>
          <cell r="C27" t="str">
            <v>GASOGENO DE 2 KG.TANQUE REFORZADO DUPLEX INSUSTRIA ARGENTINA</v>
          </cell>
          <cell r="E27" t="str">
            <v>Regular</v>
          </cell>
        </row>
        <row r="28">
          <cell r="B28" t="str">
            <v>2-00997</v>
          </cell>
          <cell r="C28" t="str">
            <v>COMPRESORA DE AIRE SILENCIOSO DE 1HP TANQUE DE 20 LTS MOD.XY37-20 MARCA XINAYA INDUSTRIA INDONESIA</v>
          </cell>
          <cell r="E28" t="str">
            <v>Regular</v>
          </cell>
        </row>
        <row r="29">
          <cell r="B29" t="str">
            <v>4-09186</v>
          </cell>
          <cell r="C29" t="str">
            <v>COMPRESORA DE 3HP N¬ DE PARTE SST34526 SERIE: RRRT56567</v>
          </cell>
          <cell r="E29" t="str">
            <v>Regular</v>
          </cell>
        </row>
        <row r="30">
          <cell r="B30" t="str">
            <v>4-11653</v>
          </cell>
          <cell r="C30" t="str">
            <v>ESTACION METEROLOGICA MARCA SPECTRUM MODELO WATCHDOG NUMERO DE SERIE 55450160 PROCEDENCIA EEUU</v>
          </cell>
          <cell r="E30" t="str">
            <v>Regular</v>
          </cell>
        </row>
        <row r="31">
          <cell r="B31" t="str">
            <v>4-09410</v>
          </cell>
          <cell r="C31" t="str">
            <v>EQUIPO DE TRANSFERENCIA DE CALOR POR CONVECCION MARCA: GUNT MODELO: WL440 SERIE: 234076, PROCEDENCIA ALEMANA</v>
          </cell>
          <cell r="E31" t="str">
            <v>Regular</v>
          </cell>
        </row>
        <row r="32">
          <cell r="B32" t="str">
            <v>4-09183</v>
          </cell>
          <cell r="C32" t="str">
            <v>MAQUINA DE SOLDAR TIG DE 300 AMP N¬ DE PARTE DDT33879 SERIE: BTT90007</v>
          </cell>
          <cell r="E32" t="str">
            <v>Regular</v>
          </cell>
        </row>
        <row r="33">
          <cell r="B33" t="str">
            <v>4-09187</v>
          </cell>
          <cell r="C33" t="str">
            <v>MAQUINA DE SOLDAR DE BOBINA DE 400 AMP. N¬ DE PARTE GGT56489 SERIE: RRRT54327</v>
          </cell>
          <cell r="E33" t="str">
            <v>Regular</v>
          </cell>
        </row>
        <row r="34">
          <cell r="B34" t="str">
            <v>4-09175</v>
          </cell>
          <cell r="C34" t="str">
            <v>EQUIPO DE SOLDADURA DE OXIACETILENICO DE 4 KL, N¬ DE PARTE ERT343637 SERIE: TTT23456</v>
          </cell>
          <cell r="E34" t="str">
            <v>Regular</v>
          </cell>
        </row>
        <row r="35">
          <cell r="B35" t="str">
            <v>4-09182</v>
          </cell>
          <cell r="C35" t="str">
            <v>PRENSA DE BANCO MEDIANO COLOR ROJO N¬ 6 N¬ DE PARTE FGT45699 SERIE: NNB5289</v>
          </cell>
          <cell r="E35" t="str">
            <v>Regular</v>
          </cell>
        </row>
        <row r="36">
          <cell r="B36" t="str">
            <v>4-09181</v>
          </cell>
          <cell r="C36" t="str">
            <v>PRENSA DE BANCO GRANDE COLOR ROJO N¬ 8 N¬ DE PARTE GTY33309 SERIE: HJY5543</v>
          </cell>
          <cell r="E36" t="str">
            <v>Regular</v>
          </cell>
        </row>
        <row r="37">
          <cell r="B37" t="str">
            <v>4-09568</v>
          </cell>
          <cell r="C37" t="str">
            <v>MONITOR DELL P2419H 23.8 RESOLUCION 1920X1080 CONECTOR HDMI VGA USB S/N 1FHYF03</v>
          </cell>
          <cell r="E37" t="str">
            <v>Regular</v>
          </cell>
        </row>
        <row r="38">
          <cell r="B38" t="str">
            <v>4-09185</v>
          </cell>
          <cell r="C38" t="str">
            <v>SIERRA CIRCULAR DE MESA MARCA METABO N¬ DE PARTE BBY67636 SERIE: BBY47873</v>
          </cell>
          <cell r="E38" t="str">
            <v>Regular</v>
          </cell>
        </row>
        <row r="39">
          <cell r="B39" t="str">
            <v>4-09289</v>
          </cell>
          <cell r="C39" t="str">
            <v>SILLON GIRATORIO SEMIEJECUTIVO DE 5 RUEDAS CROMADO ESPALDAR REGULABLE APOYA BRAZOS REGULABLE ASIENTO FORRADO CON TAPIZ DE TRAFICO COLOR NEGRO</v>
          </cell>
          <cell r="E39" t="str">
            <v>Regular</v>
          </cell>
        </row>
        <row r="40">
          <cell r="B40" t="str">
            <v>4-09189</v>
          </cell>
          <cell r="C40" t="str">
            <v>CARRO PARA PORTAR EQUIPO OXIACETILENICO N¬ DE PARTE RRT57892 SERIE: FFT56534</v>
          </cell>
          <cell r="E40" t="str">
            <v>Regular</v>
          </cell>
        </row>
        <row r="41">
          <cell r="B41" t="str">
            <v>4-09184</v>
          </cell>
          <cell r="C41" t="str">
            <v>PRENSA HIDRAULICA DE 20 TN., N¬ DE PARTE EER44112 SERIE: FFT56523</v>
          </cell>
          <cell r="E41" t="str">
            <v>Regular</v>
          </cell>
        </row>
        <row r="42">
          <cell r="B42" t="str">
            <v>4-09569</v>
          </cell>
          <cell r="C42" t="str">
            <v>CPU PROCESARDOR CORE I7 DECIMA GENERACION RAM DE 16GB TARJETA DE GRAFICO GTX 1660 RAM 16 GB</v>
          </cell>
          <cell r="E42" t="str">
            <v>Regular</v>
          </cell>
        </row>
        <row r="43">
          <cell r="B43" t="str">
            <v>4-09514</v>
          </cell>
          <cell r="C43" t="str">
            <v>MEDICION DE LA SOBREPRESION Y DEPRESION CON DIFERENTES APARATOS DE MEDICION MARCA GUNT MODELO: WL203 SERIE: 234066 PROCEDENCIA ALEMANA</v>
          </cell>
          <cell r="E43" t="str">
            <v>Regular</v>
          </cell>
        </row>
        <row r="44">
          <cell r="B44" t="str">
            <v>4-09515</v>
          </cell>
          <cell r="C44" t="str">
            <v>MEDICION DE PRESION Y TEMPERATURA EN UNA CALDERA DE VAPOR -1 KIT MARCA GUNT MODELO: WL204, SERIE: 234068 PROCEDENCIA ALEMANA</v>
          </cell>
          <cell r="E44" t="str">
            <v>Regular</v>
          </cell>
        </row>
        <row r="45">
          <cell r="B45" t="str">
            <v>4-09513</v>
          </cell>
          <cell r="C45" t="str">
            <v>MEDICION DE LAS PROP DE TRANSF DE CAMBIADORES GUNT WL110 S/234069 CON TUBOS CONCENT QUINT WL110,01 S/34070 CAMBIAD DE PLACAS QUINT WL100,02 S/234071</v>
          </cell>
          <cell r="E45" t="str">
            <v>Regular</v>
          </cell>
        </row>
        <row r="46">
          <cell r="B46" t="str">
            <v>4-09409</v>
          </cell>
          <cell r="C46" t="str">
            <v>EQUIPO DE CONDUCCION DE CALOR POR CONDUCCION MARCA: GUNT MODELO: WL372 SERIE: 234075, PROCEDENCIA ALEMANA</v>
          </cell>
          <cell r="E46" t="str">
            <v>Regular</v>
          </cell>
        </row>
        <row r="47">
          <cell r="B47" t="str">
            <v>4-08557</v>
          </cell>
          <cell r="C47" t="str">
            <v>EQUIPO DE PROYECCION DATA DISPLAY MARCA CASIO,MOD XJ-F20XN S/N:A995BBBY6A-067292 CON TECNOLOGIA LASER LED CON CHIP DE 0,55" DLP DE 1,024X768 PIXELES</v>
          </cell>
          <cell r="D47" t="str">
            <v>WILSON JUAN PABLO NACIMENTO YAIBONA</v>
          </cell>
          <cell r="E47" t="str">
            <v>Regular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F62A-E918-4C14-82C2-CD8A9B65C3EB}">
  <dimension ref="A1:J738"/>
  <sheetViews>
    <sheetView tabSelected="1" topLeftCell="E703" workbookViewId="0">
      <selection activeCell="J721" sqref="J721"/>
    </sheetView>
  </sheetViews>
  <sheetFormatPr baseColWidth="10" defaultRowHeight="15" x14ac:dyDescent="0.25"/>
  <cols>
    <col min="1" max="1" width="11" style="4"/>
    <col min="2" max="2" width="18.28515625" style="4" customWidth="1"/>
    <col min="3" max="3" width="39.7109375" bestFit="1" customWidth="1"/>
    <col min="4" max="4" width="17.140625" customWidth="1"/>
    <col min="5" max="5" width="38.85546875" bestFit="1" customWidth="1"/>
    <col min="6" max="6" width="33" bestFit="1" customWidth="1"/>
    <col min="7" max="7" width="11.5703125" style="4" customWidth="1"/>
    <col min="8" max="8" width="138.140625" customWidth="1"/>
    <col min="9" max="9" width="11" style="5"/>
    <col min="10" max="10" width="21.5703125" customWidth="1"/>
  </cols>
  <sheetData>
    <row r="1" spans="1:10" x14ac:dyDescent="0.25">
      <c r="A1" s="3" t="s">
        <v>0</v>
      </c>
      <c r="B1" s="3" t="s">
        <v>2</v>
      </c>
      <c r="C1" s="1" t="s">
        <v>3</v>
      </c>
      <c r="D1" s="1" t="s">
        <v>8</v>
      </c>
      <c r="E1" s="1" t="s">
        <v>4</v>
      </c>
      <c r="F1" s="1" t="s">
        <v>5</v>
      </c>
      <c r="G1" s="3" t="s">
        <v>7</v>
      </c>
      <c r="H1" s="1" t="s">
        <v>6</v>
      </c>
      <c r="I1" s="3" t="s">
        <v>1</v>
      </c>
      <c r="J1" s="2" t="s">
        <v>9</v>
      </c>
    </row>
    <row r="2" spans="1:10" x14ac:dyDescent="0.25">
      <c r="A2" s="4">
        <f>1</f>
        <v>1</v>
      </c>
      <c r="B2" s="4" t="s">
        <v>12</v>
      </c>
      <c r="C2" t="s">
        <v>10</v>
      </c>
      <c r="E2" t="s">
        <v>11</v>
      </c>
      <c r="F2" t="s">
        <v>122</v>
      </c>
      <c r="G2" s="4" t="str">
        <f>[1]Sheet1!C2</f>
        <v>4-00469</v>
      </c>
      <c r="H2" t="str">
        <f>[1]Sheet1!D2</f>
        <v>COMP_PORTATIL MARCA HP NUMERO EQUIPO CNU1522R6H NUM. BATERIA 6BSLHO7BB1L2HS NUM. ADAPTADOR F12921151072921 MALETIN MOUSE AUDIFONOS MOUSEPAD</v>
      </c>
      <c r="I2" s="5" t="str">
        <f>[1]Sheet1!F2</f>
        <v>Regular</v>
      </c>
    </row>
    <row r="3" spans="1:10" x14ac:dyDescent="0.25">
      <c r="A3" s="4">
        <f>A2+1</f>
        <v>2</v>
      </c>
      <c r="B3" s="4" t="s">
        <v>12</v>
      </c>
      <c r="C3" t="s">
        <v>10</v>
      </c>
      <c r="E3" t="s">
        <v>11</v>
      </c>
      <c r="F3" t="s">
        <v>122</v>
      </c>
      <c r="G3" s="4">
        <f>[1]Sheet1!C3</f>
        <v>5206</v>
      </c>
      <c r="H3" t="str">
        <f>[1]Sheet1!D3</f>
        <v>MARCOS CON PUERTA PARA MESON EMPOTRADOS BANIZADOS COLOR NATURAL Y CHAPAS</v>
      </c>
      <c r="I3" s="5" t="str">
        <f>[1]Sheet1!F3</f>
        <v>Regular</v>
      </c>
    </row>
    <row r="4" spans="1:10" x14ac:dyDescent="0.25">
      <c r="A4" s="4">
        <f t="shared" ref="A4:A67" si="0">A3+1</f>
        <v>3</v>
      </c>
      <c r="B4" s="4" t="s">
        <v>12</v>
      </c>
      <c r="C4" t="s">
        <v>10</v>
      </c>
      <c r="E4" t="s">
        <v>11</v>
      </c>
      <c r="F4" t="s">
        <v>122</v>
      </c>
      <c r="G4" s="4" t="str">
        <f>[1]Sheet1!C4</f>
        <v>4-11641</v>
      </c>
      <c r="H4" t="str">
        <f>[1]Sheet1!D4</f>
        <v>MESA AGITADORA ORBITAL MARCA DLAB MODELO SK-O330-PRO NUMERO DE SERIE SC239AR0000157 PROCEDENCIA CHINA</v>
      </c>
      <c r="I4" s="5" t="str">
        <f>[1]Sheet1!F4</f>
        <v>Regular</v>
      </c>
    </row>
    <row r="5" spans="1:10" x14ac:dyDescent="0.25">
      <c r="A5" s="4">
        <f t="shared" si="0"/>
        <v>4</v>
      </c>
      <c r="B5" s="4" t="s">
        <v>12</v>
      </c>
      <c r="C5" t="s">
        <v>10</v>
      </c>
      <c r="E5" t="s">
        <v>11</v>
      </c>
      <c r="F5" t="s">
        <v>122</v>
      </c>
      <c r="G5" s="4" t="str">
        <f>[1]Sheet1!C5</f>
        <v>4-05734</v>
      </c>
      <c r="H5" t="str">
        <f>[1]Sheet1!D5</f>
        <v>UN KIT ESTANDAR QUIMICA CON COMPUTADORES MARCA VERNIER MODELO LABQUEST2. SN¬ 13030433 COLOR NEGRO, CARGADOR Y CABLE USB.</v>
      </c>
      <c r="I5" s="5" t="str">
        <f>[1]Sheet1!F5</f>
        <v>Malo</v>
      </c>
    </row>
    <row r="6" spans="1:10" x14ac:dyDescent="0.25">
      <c r="A6" s="4">
        <f t="shared" si="0"/>
        <v>5</v>
      </c>
      <c r="B6" s="4" t="s">
        <v>12</v>
      </c>
      <c r="C6" t="s">
        <v>10</v>
      </c>
      <c r="E6" t="s">
        <v>11</v>
      </c>
      <c r="F6" t="s">
        <v>122</v>
      </c>
      <c r="G6" s="4" t="str">
        <f>[1]Sheet1!C6</f>
        <v>4-05733</v>
      </c>
      <c r="H6" t="str">
        <f>[1]Sheet1!D6</f>
        <v>UN KIT ESTANDAR QUIMICA CON COMPUTADORES MARCA VERNIER MODELO LABQUEST2. SN¬ 13029209 COLOR NEGRO, CARGADOR Y CABLE USB.</v>
      </c>
      <c r="I6" s="5" t="str">
        <f>[1]Sheet1!F6</f>
        <v>Malo</v>
      </c>
    </row>
    <row r="7" spans="1:10" x14ac:dyDescent="0.25">
      <c r="A7" s="4">
        <f t="shared" si="0"/>
        <v>6</v>
      </c>
      <c r="B7" s="4" t="s">
        <v>12</v>
      </c>
      <c r="C7" t="s">
        <v>10</v>
      </c>
      <c r="E7" t="s">
        <v>11</v>
      </c>
      <c r="F7" t="s">
        <v>122</v>
      </c>
      <c r="G7" s="4" t="str">
        <f>[1]Sheet1!C7</f>
        <v>4-05735</v>
      </c>
      <c r="H7" t="str">
        <f>[1]Sheet1!D7</f>
        <v>UN KIT ESTANDAR QUIMICA CON COMPUTADORES MARCA VERNIER MODELO LABQUEST2. SN¬ 13028742 COLOR NEGRO, CARGADOR Y CABLE USB.</v>
      </c>
      <c r="I7" s="5" t="str">
        <f>[1]Sheet1!F7</f>
        <v>Malo</v>
      </c>
    </row>
    <row r="8" spans="1:10" x14ac:dyDescent="0.25">
      <c r="A8" s="4">
        <f t="shared" si="0"/>
        <v>7</v>
      </c>
      <c r="B8" s="4" t="s">
        <v>12</v>
      </c>
      <c r="C8" t="s">
        <v>10</v>
      </c>
      <c r="E8" t="s">
        <v>11</v>
      </c>
      <c r="F8" t="s">
        <v>122</v>
      </c>
      <c r="G8" s="4" t="str">
        <f>[1]Sheet1!C8</f>
        <v>4-05732</v>
      </c>
      <c r="H8" t="str">
        <f>[1]Sheet1!D8</f>
        <v>UN KIT ESTANDAR QUIMICA CON COMPUTADORES MARCA VERNIER MODELO LABQUEST2. SN¬ 13027619 COLOR NEGRO, CARGADOR Y CABLE USB.</v>
      </c>
      <c r="I8" s="5" t="str">
        <f>[1]Sheet1!F8</f>
        <v>Malo</v>
      </c>
    </row>
    <row r="9" spans="1:10" x14ac:dyDescent="0.25">
      <c r="A9" s="4">
        <f t="shared" si="0"/>
        <v>8</v>
      </c>
      <c r="B9" s="4" t="s">
        <v>12</v>
      </c>
      <c r="C9" t="s">
        <v>10</v>
      </c>
      <c r="E9" t="s">
        <v>11</v>
      </c>
      <c r="F9" t="s">
        <v>122</v>
      </c>
      <c r="G9" s="4" t="str">
        <f>[1]Sheet1!C9</f>
        <v>4-05998</v>
      </c>
      <c r="H9" t="str">
        <f>[1]Sheet1!D9</f>
        <v>BANCO PARA CINEMATICA</v>
      </c>
      <c r="I9" s="5" t="str">
        <f>[1]Sheet1!F9</f>
        <v>Malo</v>
      </c>
    </row>
    <row r="10" spans="1:10" x14ac:dyDescent="0.25">
      <c r="A10" s="4">
        <f t="shared" si="0"/>
        <v>9</v>
      </c>
      <c r="B10" s="4" t="s">
        <v>12</v>
      </c>
      <c r="C10" t="s">
        <v>10</v>
      </c>
      <c r="E10" t="s">
        <v>11</v>
      </c>
      <c r="F10" t="s">
        <v>122</v>
      </c>
      <c r="G10" s="4" t="str">
        <f>[1]Sheet1!C10</f>
        <v>4-05993</v>
      </c>
      <c r="H10" t="str">
        <f>[1]Sheet1!D10</f>
        <v>BANCO DE MEDICIONES BASICAS Y ESTATICA EL EQUIPO SE ENCUENTRA EN UN MUEBLE MELAMINICO COLOR CREMA CON CAJONES</v>
      </c>
      <c r="I10" s="5" t="str">
        <f>[1]Sheet1!F10</f>
        <v>Malo</v>
      </c>
    </row>
    <row r="11" spans="1:10" x14ac:dyDescent="0.25">
      <c r="A11" s="4">
        <f t="shared" si="0"/>
        <v>10</v>
      </c>
      <c r="B11" s="4" t="s">
        <v>12</v>
      </c>
      <c r="C11" t="s">
        <v>10</v>
      </c>
      <c r="E11" t="s">
        <v>11</v>
      </c>
      <c r="F11" t="s">
        <v>122</v>
      </c>
      <c r="G11" s="4" t="str">
        <f>[1]Sheet1!C11</f>
        <v>4-05995</v>
      </c>
      <c r="H11" t="str">
        <f>[1]Sheet1!D11</f>
        <v>BANCO DE MEDICIONES BASICAS Y ESTATICA EL EQUIPO SE ENCUENTRA EN UN MUEBLE MELAMINICO COLOR CREMA CON CAJONES</v>
      </c>
      <c r="I11" s="5" t="str">
        <f>[1]Sheet1!F11</f>
        <v>Malo</v>
      </c>
    </row>
    <row r="12" spans="1:10" x14ac:dyDescent="0.25">
      <c r="A12" s="4">
        <f t="shared" si="0"/>
        <v>11</v>
      </c>
      <c r="B12" s="4" t="s">
        <v>12</v>
      </c>
      <c r="C12" t="s">
        <v>10</v>
      </c>
      <c r="E12" t="s">
        <v>11</v>
      </c>
      <c r="F12" t="s">
        <v>122</v>
      </c>
      <c r="G12" s="4" t="str">
        <f>[1]Sheet1!C12</f>
        <v>4-05994</v>
      </c>
      <c r="H12" t="str">
        <f>[1]Sheet1!D12</f>
        <v>BANCO DE MEDICIONES BASICAS Y ESTATICA EL EQUIPO SE ENCUENTRA EN UN MUEBLE MELAMINICO COLOR CREMA CON CAJONES</v>
      </c>
      <c r="I12" s="5" t="str">
        <f>[1]Sheet1!F12</f>
        <v>Malo</v>
      </c>
    </row>
    <row r="13" spans="1:10" x14ac:dyDescent="0.25">
      <c r="A13" s="4">
        <f t="shared" si="0"/>
        <v>12</v>
      </c>
      <c r="B13" s="4" t="s">
        <v>12</v>
      </c>
      <c r="C13" t="s">
        <v>10</v>
      </c>
      <c r="E13" t="s">
        <v>11</v>
      </c>
      <c r="F13" t="s">
        <v>122</v>
      </c>
      <c r="G13" s="4" t="str">
        <f>[1]Sheet1!C13</f>
        <v>4-05992</v>
      </c>
      <c r="H13" t="str">
        <f>[1]Sheet1!D13</f>
        <v>BANCO DE MEDICIONES BASICAS Y ESTATICA EL EQUIPO SE ENCUENTRA EN UN MUEBLE MELAMINICO COLOR CREMA CON CAJONES</v>
      </c>
      <c r="I13" s="5" t="str">
        <f>[1]Sheet1!F13</f>
        <v>Malo</v>
      </c>
    </row>
    <row r="14" spans="1:10" x14ac:dyDescent="0.25">
      <c r="A14" s="4">
        <f t="shared" si="0"/>
        <v>13</v>
      </c>
      <c r="B14" s="4" t="s">
        <v>12</v>
      </c>
      <c r="C14" t="s">
        <v>10</v>
      </c>
      <c r="E14" t="s">
        <v>11</v>
      </c>
      <c r="F14" t="s">
        <v>122</v>
      </c>
      <c r="G14" s="4" t="str">
        <f>[1]Sheet1!C14</f>
        <v>4-05997</v>
      </c>
      <c r="H14" t="str">
        <f>[1]Sheet1!D14</f>
        <v>BANCO PARA TERMODINAMICA EL EQUIPO SE ENCUENTRA EN UN MUEBLE MELAMINICO COLOR CREMA CON CAJONES</v>
      </c>
      <c r="I14" s="5" t="str">
        <f>[1]Sheet1!F14</f>
        <v>Malo</v>
      </c>
    </row>
    <row r="15" spans="1:10" x14ac:dyDescent="0.25">
      <c r="A15" s="4">
        <f t="shared" si="0"/>
        <v>14</v>
      </c>
      <c r="B15" s="4" t="s">
        <v>12</v>
      </c>
      <c r="C15" t="s">
        <v>10</v>
      </c>
      <c r="E15" t="s">
        <v>11</v>
      </c>
      <c r="F15" t="s">
        <v>122</v>
      </c>
      <c r="G15" s="4" t="str">
        <f>[1]Sheet1!C15</f>
        <v>4-05996</v>
      </c>
      <c r="H15" t="str">
        <f>[1]Sheet1!D15</f>
        <v>BANCO PARA TERMODINAMICA EL EQUIPO SE ENCUENTRA EN UN MUEBLE MELAMINICO COLOR CREMA CON CAJONES</v>
      </c>
      <c r="I15" s="5" t="str">
        <f>[1]Sheet1!F15</f>
        <v>Malo</v>
      </c>
    </row>
    <row r="16" spans="1:10" x14ac:dyDescent="0.25">
      <c r="A16" s="4">
        <f t="shared" si="0"/>
        <v>15</v>
      </c>
      <c r="B16" s="4" t="s">
        <v>12</v>
      </c>
      <c r="C16" t="s">
        <v>10</v>
      </c>
      <c r="E16" t="s">
        <v>11</v>
      </c>
      <c r="F16" t="s">
        <v>122</v>
      </c>
      <c r="G16" s="4" t="str">
        <f>[1]Sheet1!C16</f>
        <v>4-05988</v>
      </c>
      <c r="H16" t="str">
        <f>[1]Sheet1!D16</f>
        <v>BANCO DE DINAMICA Y LEYES DE CONSERVACION TODO EL EQUIPO SE ENCUENTRA EN UN MUEBLE DE MELAMINICO COLOR CREMA.</v>
      </c>
      <c r="I16" s="5" t="str">
        <f>[1]Sheet1!F16</f>
        <v>Malo</v>
      </c>
    </row>
    <row r="17" spans="1:9" x14ac:dyDescent="0.25">
      <c r="A17" s="4">
        <f t="shared" si="0"/>
        <v>16</v>
      </c>
      <c r="B17" s="4" t="s">
        <v>12</v>
      </c>
      <c r="C17" t="s">
        <v>10</v>
      </c>
      <c r="E17" t="s">
        <v>11</v>
      </c>
      <c r="F17" t="s">
        <v>122</v>
      </c>
      <c r="G17" s="4" t="str">
        <f>[1]Sheet1!C17</f>
        <v>4-05991</v>
      </c>
      <c r="H17" t="str">
        <f>[1]Sheet1!D17</f>
        <v>BANCO DE DINAMICA Y LEYES DE CONSERVACION TODO EL EQUIPO SE ENCUENTRA EN UN MUEBLE DE MELAMINICO COLOR CREMA CON 3 CAJONES Y UNA</v>
      </c>
      <c r="I17" s="5" t="str">
        <f>[1]Sheet1!F17</f>
        <v>Malo</v>
      </c>
    </row>
    <row r="18" spans="1:9" x14ac:dyDescent="0.25">
      <c r="A18" s="4">
        <f t="shared" si="0"/>
        <v>17</v>
      </c>
      <c r="B18" s="4" t="s">
        <v>12</v>
      </c>
      <c r="C18" t="s">
        <v>10</v>
      </c>
      <c r="E18" t="s">
        <v>11</v>
      </c>
      <c r="F18" t="s">
        <v>122</v>
      </c>
      <c r="G18" s="4" t="str">
        <f>[1]Sheet1!C18</f>
        <v>4-05990</v>
      </c>
      <c r="H18" t="str">
        <f>[1]Sheet1!D18</f>
        <v>BANCO DE DINAMICA Y LEYES DE CONSERVACION TODO EL EQUIPO SE ENCUENTRA EN UN MUEBLE DE MELAMINICO COLOR CREMA CON 3 CAJONES Y UNA</v>
      </c>
      <c r="I18" s="5" t="str">
        <f>[1]Sheet1!F18</f>
        <v>Malo</v>
      </c>
    </row>
    <row r="19" spans="1:9" x14ac:dyDescent="0.25">
      <c r="A19" s="4">
        <f t="shared" si="0"/>
        <v>18</v>
      </c>
      <c r="B19" s="4" t="s">
        <v>12</v>
      </c>
      <c r="C19" t="s">
        <v>10</v>
      </c>
      <c r="E19" t="s">
        <v>11</v>
      </c>
      <c r="F19" t="s">
        <v>122</v>
      </c>
      <c r="G19" s="4" t="str">
        <f>[1]Sheet1!C19</f>
        <v>4-05989</v>
      </c>
      <c r="H19" t="str">
        <f>[1]Sheet1!D19</f>
        <v>BANCO DE DINAMICA Y LEYES DE CONSERVACION TODO EL EQUIPO SE ENCUENTRA EN UN MUEBLE DE MELAMINICO COLOR CREMA</v>
      </c>
      <c r="I19" s="5" t="str">
        <f>[1]Sheet1!F19</f>
        <v>Malo</v>
      </c>
    </row>
    <row r="20" spans="1:9" x14ac:dyDescent="0.25">
      <c r="A20" s="4">
        <f t="shared" si="0"/>
        <v>19</v>
      </c>
      <c r="B20" s="4" t="s">
        <v>12</v>
      </c>
      <c r="C20" t="s">
        <v>10</v>
      </c>
      <c r="E20" t="s">
        <v>11</v>
      </c>
      <c r="F20" t="s">
        <v>122</v>
      </c>
      <c r="G20" s="4" t="str">
        <f>[1]Sheet1!C20</f>
        <v>4-05750</v>
      </c>
      <c r="H20" t="str">
        <f>[1]Sheet1!D20</f>
        <v>CAMPANA DE EXTRACCION DE GASES S/N 15100487 MODELO Q216-22 MARCA QUIMIS. ACCESORIOS 1 MANUAL DE USUARIO CD 1 MOTOR EXTRACTOR S/N 1132586</v>
      </c>
      <c r="I20" s="5" t="str">
        <f>[1]Sheet1!F20</f>
        <v>Regular</v>
      </c>
    </row>
    <row r="21" spans="1:9" x14ac:dyDescent="0.25">
      <c r="A21" s="4">
        <f t="shared" si="0"/>
        <v>20</v>
      </c>
      <c r="B21" s="4" t="s">
        <v>12</v>
      </c>
      <c r="C21" t="s">
        <v>10</v>
      </c>
      <c r="E21" t="s">
        <v>11</v>
      </c>
      <c r="F21" t="s">
        <v>122</v>
      </c>
      <c r="G21" s="4" t="str">
        <f>[1]Sheet1!C21</f>
        <v>4-05755</v>
      </c>
      <c r="H21" t="str">
        <f>[1]Sheet1!D21</f>
        <v>CAMPANA DE EXTRACCION DE GASES S/N 15100487 MODELO Q216-22 MARCA QUIMIS. ACCESORIOS 1 MANUAL DE USUARIO CD 1 MOTOR EXTRACTOR S/N 1132586</v>
      </c>
      <c r="I21" s="5" t="str">
        <f>[1]Sheet1!F21</f>
        <v>Regular</v>
      </c>
    </row>
    <row r="22" spans="1:9" x14ac:dyDescent="0.25">
      <c r="A22" s="4">
        <f t="shared" si="0"/>
        <v>21</v>
      </c>
      <c r="B22" s="4" t="s">
        <v>12</v>
      </c>
      <c r="C22" t="s">
        <v>10</v>
      </c>
      <c r="E22" t="s">
        <v>11</v>
      </c>
      <c r="F22" t="s">
        <v>122</v>
      </c>
      <c r="G22" s="4" t="str">
        <f>[1]Sheet1!C22</f>
        <v>4-05741</v>
      </c>
      <c r="H22" t="str">
        <f>[1]Sheet1!D22</f>
        <v>POLARIMETRO (DECODIFICADOR OPTICO Y FUENTE DE LUZ LED) MARCA VERNIER, MODELO POLARIMETER. COLOR NEGRO CON PLOMO COMBINADO, CON CARGADOR</v>
      </c>
      <c r="I22" s="5" t="str">
        <f>[1]Sheet1!F22</f>
        <v>Regular</v>
      </c>
    </row>
    <row r="23" spans="1:9" x14ac:dyDescent="0.25">
      <c r="A23" s="4">
        <f t="shared" si="0"/>
        <v>22</v>
      </c>
      <c r="B23" s="4" t="s">
        <v>12</v>
      </c>
      <c r="C23" t="s">
        <v>10</v>
      </c>
      <c r="E23" t="s">
        <v>11</v>
      </c>
      <c r="F23" t="s">
        <v>122</v>
      </c>
      <c r="G23" s="4" t="str">
        <f>[1]Sheet1!C23</f>
        <v>4-05740</v>
      </c>
      <c r="H23" t="str">
        <f>[1]Sheet1!D23</f>
        <v>POLARIMETRO (DECODIFICADOR OPTICO Y FUENTE DE LUZ LED) MARCA VERNIER, MODELO POLARIMETER. COLOR NEGRO CON PLOMO COMBINADO, CON CARGADOR</v>
      </c>
      <c r="I23" s="5" t="str">
        <f>[1]Sheet1!F23</f>
        <v>Regular</v>
      </c>
    </row>
    <row r="24" spans="1:9" x14ac:dyDescent="0.25">
      <c r="A24" s="4">
        <f t="shared" si="0"/>
        <v>23</v>
      </c>
      <c r="B24" s="4" t="s">
        <v>12</v>
      </c>
      <c r="C24" t="s">
        <v>10</v>
      </c>
      <c r="E24" t="s">
        <v>11</v>
      </c>
      <c r="F24" t="s">
        <v>122</v>
      </c>
      <c r="G24" s="4" t="str">
        <f>[1]Sheet1!C24</f>
        <v>4-05739</v>
      </c>
      <c r="H24" t="str">
        <f>[1]Sheet1!D24</f>
        <v>POLARIMETRO (DECODIFICADOR OPTICO Y FUENTE DE LUZ LED) MARCA VERNIER, MODELO POLARIMETER. COLOR NEGRO CON PLOMO COMBINADO, CON CARGADOR</v>
      </c>
      <c r="I24" s="5" t="str">
        <f>[1]Sheet1!F24</f>
        <v>Regular</v>
      </c>
    </row>
    <row r="25" spans="1:9" x14ac:dyDescent="0.25">
      <c r="A25" s="4">
        <f t="shared" si="0"/>
        <v>24</v>
      </c>
      <c r="B25" s="4" t="s">
        <v>12</v>
      </c>
      <c r="C25" t="s">
        <v>10</v>
      </c>
      <c r="E25" t="s">
        <v>11</v>
      </c>
      <c r="F25" t="s">
        <v>122</v>
      </c>
      <c r="G25" s="4" t="str">
        <f>[1]Sheet1!C25</f>
        <v>4-05687</v>
      </c>
      <c r="H25" t="str">
        <f>[1]Sheet1!D25</f>
        <v>AGITADOR MAGNETICO (50-1250 RPM Y 800ML.) COLOR NEGRO CON CARGADOR.</v>
      </c>
      <c r="I25" s="5" t="str">
        <f>[1]Sheet1!F25</f>
        <v>Regular</v>
      </c>
    </row>
    <row r="26" spans="1:9" x14ac:dyDescent="0.25">
      <c r="A26" s="4">
        <f t="shared" si="0"/>
        <v>25</v>
      </c>
      <c r="B26" s="4" t="s">
        <v>12</v>
      </c>
      <c r="C26" t="s">
        <v>10</v>
      </c>
      <c r="E26" t="s">
        <v>11</v>
      </c>
      <c r="F26" t="s">
        <v>122</v>
      </c>
      <c r="G26" s="4" t="str">
        <f>[1]Sheet1!C26</f>
        <v>4-05692</v>
      </c>
      <c r="H26" t="str">
        <f>[1]Sheet1!D26</f>
        <v>AGITADOR MAGNETICO (50-1250 RPM Y 800ML.) COLOR NEGRO CON CARGADOR.</v>
      </c>
      <c r="I26" s="5" t="str">
        <f>[1]Sheet1!F26</f>
        <v>Regular</v>
      </c>
    </row>
    <row r="27" spans="1:9" x14ac:dyDescent="0.25">
      <c r="A27" s="4">
        <f t="shared" si="0"/>
        <v>26</v>
      </c>
      <c r="B27" s="4" t="s">
        <v>12</v>
      </c>
      <c r="C27" t="s">
        <v>10</v>
      </c>
      <c r="E27" t="s">
        <v>11</v>
      </c>
      <c r="F27" t="s">
        <v>122</v>
      </c>
      <c r="G27" s="4" t="str">
        <f>[1]Sheet1!C27</f>
        <v>4-05691</v>
      </c>
      <c r="H27" t="str">
        <f>[1]Sheet1!D27</f>
        <v>AGITADOR MAGNETICO (50-1250 RPM Y 800ML.) COLOR NEGRO CON CARGADOR.</v>
      </c>
      <c r="I27" s="5" t="str">
        <f>[1]Sheet1!F27</f>
        <v>Regular</v>
      </c>
    </row>
    <row r="28" spans="1:9" x14ac:dyDescent="0.25">
      <c r="A28" s="4">
        <f t="shared" si="0"/>
        <v>27</v>
      </c>
      <c r="B28" s="4" t="s">
        <v>12</v>
      </c>
      <c r="C28" t="s">
        <v>10</v>
      </c>
      <c r="E28" t="s">
        <v>11</v>
      </c>
      <c r="F28" t="s">
        <v>122</v>
      </c>
      <c r="G28" s="4" t="str">
        <f>[1]Sheet1!C28</f>
        <v>4-05690</v>
      </c>
      <c r="H28" t="str">
        <f>[1]Sheet1!D28</f>
        <v>AGITADOR MAGNETICO (50-1250 RPM Y 800ML.) COLOR NEGRO CON CARGADOR.</v>
      </c>
      <c r="I28" s="5" t="str">
        <f>[1]Sheet1!F28</f>
        <v>Regular</v>
      </c>
    </row>
    <row r="29" spans="1:9" x14ac:dyDescent="0.25">
      <c r="A29" s="4">
        <f t="shared" si="0"/>
        <v>28</v>
      </c>
      <c r="B29" s="4" t="s">
        <v>12</v>
      </c>
      <c r="C29" t="s">
        <v>10</v>
      </c>
      <c r="E29" t="s">
        <v>11</v>
      </c>
      <c r="F29" t="s">
        <v>122</v>
      </c>
      <c r="G29" s="4" t="str">
        <f>[1]Sheet1!C29</f>
        <v>4-05689</v>
      </c>
      <c r="H29" t="str">
        <f>[1]Sheet1!D29</f>
        <v>AGITADOR MAGNETICO (50-1250 RPM Y 800ML.) COLOR NEGRO CON CARGADOR.</v>
      </c>
      <c r="I29" s="5" t="str">
        <f>[1]Sheet1!F29</f>
        <v>Regular</v>
      </c>
    </row>
    <row r="30" spans="1:9" x14ac:dyDescent="0.25">
      <c r="A30" s="4">
        <f t="shared" si="0"/>
        <v>29</v>
      </c>
      <c r="B30" s="4" t="s">
        <v>12</v>
      </c>
      <c r="C30" t="s">
        <v>10</v>
      </c>
      <c r="E30" t="s">
        <v>11</v>
      </c>
      <c r="F30" t="s">
        <v>122</v>
      </c>
      <c r="G30" s="4" t="str">
        <f>[1]Sheet1!C30</f>
        <v>4-05688</v>
      </c>
      <c r="H30" t="str">
        <f>[1]Sheet1!D30</f>
        <v>AGITADOR MAGNETICO (50-1250 RPM Y 800ML.) COLOR NEGRO CON CARGADOR.</v>
      </c>
      <c r="I30" s="5" t="str">
        <f>[1]Sheet1!F30</f>
        <v>Regular</v>
      </c>
    </row>
    <row r="31" spans="1:9" x14ac:dyDescent="0.25">
      <c r="A31" s="4">
        <f t="shared" si="0"/>
        <v>30</v>
      </c>
      <c r="B31" s="4" t="s">
        <v>12</v>
      </c>
      <c r="C31" t="s">
        <v>10</v>
      </c>
      <c r="E31" t="s">
        <v>11</v>
      </c>
      <c r="F31" t="s">
        <v>122</v>
      </c>
      <c r="G31" s="4" t="str">
        <f>[1]Sheet1!C31</f>
        <v>4-11647</v>
      </c>
      <c r="H31" t="str">
        <f>[1]Sheet1!D31</f>
        <v>AGITADOR-VORTEX MARCA DLAB MODELO MX-S NUMERO DE SERIE VB232AS0008519 PROCEDENCIA CHINA</v>
      </c>
      <c r="I31" s="5" t="str">
        <f>[1]Sheet1!F31</f>
        <v>Regular</v>
      </c>
    </row>
    <row r="32" spans="1:9" x14ac:dyDescent="0.25">
      <c r="A32" s="4">
        <f t="shared" si="0"/>
        <v>31</v>
      </c>
      <c r="B32" s="4" t="s">
        <v>12</v>
      </c>
      <c r="C32" t="s">
        <v>10</v>
      </c>
      <c r="E32" t="s">
        <v>11</v>
      </c>
      <c r="F32" t="s">
        <v>122</v>
      </c>
      <c r="G32" s="4" t="str">
        <f>[1]Sheet1!C32</f>
        <v>4-011409</v>
      </c>
      <c r="H32" t="str">
        <f>[1]Sheet1!D32</f>
        <v>AGITADOR MAGNETICO CON CALEFACCION MARCA DE DALB MODELO MS7-H55-PRO PROCEDENCIA CHINA SERIE MN232BC0002429</v>
      </c>
      <c r="I32" s="5" t="str">
        <f>[1]Sheet1!F32</f>
        <v>Regular</v>
      </c>
    </row>
    <row r="33" spans="1:9" x14ac:dyDescent="0.25">
      <c r="A33" s="4">
        <f t="shared" si="0"/>
        <v>32</v>
      </c>
      <c r="B33" s="4" t="s">
        <v>12</v>
      </c>
      <c r="C33" t="s">
        <v>10</v>
      </c>
      <c r="E33" t="s">
        <v>11</v>
      </c>
      <c r="F33" t="s">
        <v>122</v>
      </c>
      <c r="G33" s="4" t="str">
        <f>[1]Sheet1!C33</f>
        <v>4-011381</v>
      </c>
      <c r="H33" t="str">
        <f>[1]Sheet1!D33</f>
        <v>AGITADOR MAGNETICO CON CALEFACCION MARCA DLAB MODELO MS7-H550-PRO PROCEDENCIA CHINA SERIE MN232BC002427</v>
      </c>
      <c r="I33" s="5" t="str">
        <f>[1]Sheet1!F33</f>
        <v>Regular</v>
      </c>
    </row>
    <row r="34" spans="1:9" x14ac:dyDescent="0.25">
      <c r="A34" s="4">
        <f t="shared" si="0"/>
        <v>33</v>
      </c>
      <c r="B34" s="4" t="s">
        <v>12</v>
      </c>
      <c r="C34" t="s">
        <v>10</v>
      </c>
      <c r="E34" t="s">
        <v>11</v>
      </c>
      <c r="F34" t="s">
        <v>122</v>
      </c>
      <c r="G34" s="4" t="str">
        <f>[1]Sheet1!C34</f>
        <v>4-011380</v>
      </c>
      <c r="H34" t="str">
        <f>[1]Sheet1!D34</f>
        <v>AGITADOR MAGNETICO CON CALEFACCION MARCA DLAB MODELO MS7-H550-PRO PROCEDENCIA CHINA SERIE MN232BC002423</v>
      </c>
      <c r="I34" s="5" t="str">
        <f>[1]Sheet1!F34</f>
        <v>Regular</v>
      </c>
    </row>
    <row r="35" spans="1:9" x14ac:dyDescent="0.25">
      <c r="A35" s="4">
        <f t="shared" si="0"/>
        <v>34</v>
      </c>
      <c r="B35" s="4" t="s">
        <v>12</v>
      </c>
      <c r="C35" t="s">
        <v>10</v>
      </c>
      <c r="E35" t="s">
        <v>11</v>
      </c>
      <c r="F35" t="s">
        <v>122</v>
      </c>
      <c r="G35" s="4" t="str">
        <f>[1]Sheet1!C35</f>
        <v>4-011408</v>
      </c>
      <c r="H35" t="str">
        <f>[1]Sheet1!D35</f>
        <v>AGITADOR MAGNETICO CON CALEFACCION MARCA DE DALB MODELO MS7-H55-PRO PROCEDENCIA CHINA SERIE MN232BC0002417</v>
      </c>
      <c r="I35" s="5" t="str">
        <f>[1]Sheet1!F35</f>
        <v>Regular</v>
      </c>
    </row>
    <row r="36" spans="1:9" x14ac:dyDescent="0.25">
      <c r="A36" s="4">
        <f t="shared" si="0"/>
        <v>35</v>
      </c>
      <c r="B36" s="4" t="s">
        <v>12</v>
      </c>
      <c r="C36" t="s">
        <v>10</v>
      </c>
      <c r="E36" t="s">
        <v>11</v>
      </c>
      <c r="F36" t="s">
        <v>122</v>
      </c>
      <c r="G36" s="4" t="str">
        <f>[1]Sheet1!C36</f>
        <v>4-011379</v>
      </c>
      <c r="H36" t="str">
        <f>[1]Sheet1!D36</f>
        <v>AGITADOR MAGNETICO CON CALEFACCION MARCA DLAB MODELO MS7-H550-PRO PROCEDENCIA CHINA SERIE MN232BC002418</v>
      </c>
      <c r="I36" s="5" t="str">
        <f>[1]Sheet1!F36</f>
        <v>Regular</v>
      </c>
    </row>
    <row r="37" spans="1:9" x14ac:dyDescent="0.25">
      <c r="A37" s="4">
        <f t="shared" si="0"/>
        <v>36</v>
      </c>
      <c r="B37" s="4" t="s">
        <v>12</v>
      </c>
      <c r="C37" t="s">
        <v>10</v>
      </c>
      <c r="E37" t="s">
        <v>11</v>
      </c>
      <c r="F37" t="s">
        <v>122</v>
      </c>
      <c r="G37" s="4" t="str">
        <f>[1]Sheet1!C37</f>
        <v>4-05748</v>
      </c>
      <c r="H37" t="str">
        <f>[1]Sheet1!D37</f>
        <v>HORNO DE ESTERILIZACION REG.SINGLE DISPLAY PANTALLA TACTIL CAPACIDAD 53 LITROS MARCA-MEMMERT MODELO-UN55 N¬DE SERIE B214.1365 GARANTIA DE 24 MESES.</v>
      </c>
      <c r="I37" s="5" t="str">
        <f>[1]Sheet1!F37</f>
        <v>Regular</v>
      </c>
    </row>
    <row r="38" spans="1:9" x14ac:dyDescent="0.25">
      <c r="A38" s="4">
        <f t="shared" si="0"/>
        <v>37</v>
      </c>
      <c r="B38" s="4" t="s">
        <v>12</v>
      </c>
      <c r="C38" t="s">
        <v>10</v>
      </c>
      <c r="E38" t="s">
        <v>11</v>
      </c>
      <c r="F38" t="s">
        <v>122</v>
      </c>
      <c r="G38" s="4" t="str">
        <f>[1]Sheet1!C38</f>
        <v>4-011401</v>
      </c>
      <c r="H38" t="str">
        <f>[1]Sheet1!D38</f>
        <v>TERMOMETRO DE PENETRACION MARCA TROTEC MODELO BT20 PROCEDENCIA ALEMANIA SERIE AGB22A3513</v>
      </c>
      <c r="I38" s="5" t="str">
        <f>[1]Sheet1!F38</f>
        <v>Regular</v>
      </c>
    </row>
    <row r="39" spans="1:9" x14ac:dyDescent="0.25">
      <c r="A39" s="4">
        <f t="shared" si="0"/>
        <v>38</v>
      </c>
      <c r="B39" s="4" t="s">
        <v>12</v>
      </c>
      <c r="C39" t="s">
        <v>10</v>
      </c>
      <c r="E39" t="s">
        <v>11</v>
      </c>
      <c r="F39" t="s">
        <v>122</v>
      </c>
      <c r="G39" s="4" t="str">
        <f>[1]Sheet1!C39</f>
        <v>4-05726</v>
      </c>
      <c r="H39" t="str">
        <f>[1]Sheet1!D39</f>
        <v>CROMOTOGRAFO DE GASES (COLUMNA INTERNA DE 11M) MARCA VERNIER - MINI GC PLUS. COLOR NEGRO, ALIMENTADOR DE ENERGIA, CABLE USB, SN¬ 2780</v>
      </c>
      <c r="I39" s="5" t="str">
        <f>[1]Sheet1!F39</f>
        <v>Regular</v>
      </c>
    </row>
    <row r="40" spans="1:9" x14ac:dyDescent="0.25">
      <c r="A40" s="4">
        <f t="shared" si="0"/>
        <v>39</v>
      </c>
      <c r="B40" s="4" t="s">
        <v>12</v>
      </c>
      <c r="C40" t="s">
        <v>10</v>
      </c>
      <c r="E40" t="s">
        <v>11</v>
      </c>
      <c r="F40" t="s">
        <v>122</v>
      </c>
      <c r="G40" s="4" t="str">
        <f>[1]Sheet1!C40</f>
        <v>4-05727</v>
      </c>
      <c r="H40" t="str">
        <f>[1]Sheet1!D40</f>
        <v>CROMOTOGRAFO DE GASES (COLUMNA INTERNA DE 11M) MARCA VERNIER - MINI GC PLUS. COLOR NEGRO, ALIMENTADOR DE ENERGIA, CABLE USB, SN¬ 2739</v>
      </c>
      <c r="I40" s="5" t="str">
        <f>[1]Sheet1!F40</f>
        <v>Regular</v>
      </c>
    </row>
    <row r="41" spans="1:9" x14ac:dyDescent="0.25">
      <c r="A41" s="4">
        <f t="shared" si="0"/>
        <v>40</v>
      </c>
      <c r="B41" s="4" t="s">
        <v>12</v>
      </c>
      <c r="C41" t="s">
        <v>10</v>
      </c>
      <c r="E41" t="s">
        <v>11</v>
      </c>
      <c r="F41" t="s">
        <v>122</v>
      </c>
      <c r="G41" s="4">
        <f>[1]Sheet1!C41</f>
        <v>4021</v>
      </c>
      <c r="H41" t="str">
        <f>[1]Sheet1!D41</f>
        <v>MICROPIPETA (MARCA CAPP, S/N AG 0721)</v>
      </c>
      <c r="I41" s="5" t="str">
        <f>[1]Sheet1!F41</f>
        <v>Malo</v>
      </c>
    </row>
    <row r="42" spans="1:9" x14ac:dyDescent="0.25">
      <c r="A42" s="4">
        <f t="shared" si="0"/>
        <v>41</v>
      </c>
      <c r="B42" s="4" t="s">
        <v>12</v>
      </c>
      <c r="C42" t="s">
        <v>10</v>
      </c>
      <c r="E42" t="s">
        <v>11</v>
      </c>
      <c r="F42" t="s">
        <v>122</v>
      </c>
      <c r="G42" s="4">
        <f>[1]Sheet1!C42</f>
        <v>4020</v>
      </c>
      <c r="H42" t="str">
        <f>[1]Sheet1!D42</f>
        <v>MICROPIPETA (MARCA CAPP, S/N AG 0719)</v>
      </c>
      <c r="I42" s="5" t="str">
        <f>[1]Sheet1!F42</f>
        <v>Malo</v>
      </c>
    </row>
    <row r="43" spans="1:9" x14ac:dyDescent="0.25">
      <c r="A43" s="4">
        <f t="shared" si="0"/>
        <v>42</v>
      </c>
      <c r="B43" s="4" t="s">
        <v>12</v>
      </c>
      <c r="C43" t="s">
        <v>10</v>
      </c>
      <c r="E43" t="s">
        <v>11</v>
      </c>
      <c r="F43" t="s">
        <v>122</v>
      </c>
      <c r="G43" s="4">
        <f>[1]Sheet1!C43</f>
        <v>4025</v>
      </c>
      <c r="H43" t="str">
        <f>[1]Sheet1!D43</f>
        <v>MICROPIPETA (MARCA CAPP, S/N AG 5474)</v>
      </c>
      <c r="I43" s="5" t="str">
        <f>[1]Sheet1!F43</f>
        <v>Malo</v>
      </c>
    </row>
    <row r="44" spans="1:9" x14ac:dyDescent="0.25">
      <c r="A44" s="4">
        <f t="shared" si="0"/>
        <v>43</v>
      </c>
      <c r="B44" s="4" t="s">
        <v>12</v>
      </c>
      <c r="C44" t="s">
        <v>10</v>
      </c>
      <c r="E44" t="s">
        <v>11</v>
      </c>
      <c r="F44" t="s">
        <v>122</v>
      </c>
      <c r="G44" s="4">
        <f>[1]Sheet1!C44</f>
        <v>4024</v>
      </c>
      <c r="H44" t="str">
        <f>[1]Sheet1!D44</f>
        <v>MICROPIPETA (MARCA CAPP, S/N AG 5473)</v>
      </c>
      <c r="I44" s="5" t="str">
        <f>[1]Sheet1!F44</f>
        <v>Malo</v>
      </c>
    </row>
    <row r="45" spans="1:9" x14ac:dyDescent="0.25">
      <c r="A45" s="4">
        <f t="shared" si="0"/>
        <v>44</v>
      </c>
      <c r="B45" s="4" t="s">
        <v>12</v>
      </c>
      <c r="C45" t="s">
        <v>10</v>
      </c>
      <c r="E45" t="s">
        <v>11</v>
      </c>
      <c r="F45" t="s">
        <v>122</v>
      </c>
      <c r="G45" s="4">
        <f>[1]Sheet1!C45</f>
        <v>4023</v>
      </c>
      <c r="H45" t="str">
        <f>[1]Sheet1!D45</f>
        <v>MICROPIPETA (MARCA CAPP, S/N AG 0723)</v>
      </c>
      <c r="I45" s="5" t="str">
        <f>[1]Sheet1!F45</f>
        <v>Malo</v>
      </c>
    </row>
    <row r="46" spans="1:9" x14ac:dyDescent="0.25">
      <c r="A46" s="4">
        <f t="shared" si="0"/>
        <v>45</v>
      </c>
      <c r="B46" s="4" t="s">
        <v>12</v>
      </c>
      <c r="C46" t="s">
        <v>10</v>
      </c>
      <c r="E46" t="s">
        <v>11</v>
      </c>
      <c r="F46" t="s">
        <v>122</v>
      </c>
      <c r="G46" s="4">
        <f>[1]Sheet1!C46</f>
        <v>4022</v>
      </c>
      <c r="H46" t="str">
        <f>[1]Sheet1!D46</f>
        <v>MICROPIPETA (MARCA CAPP, S/N AG 0722)</v>
      </c>
      <c r="I46" s="5" t="str">
        <f>[1]Sheet1!F46</f>
        <v>Malo</v>
      </c>
    </row>
    <row r="47" spans="1:9" x14ac:dyDescent="0.25">
      <c r="A47" s="4">
        <f t="shared" si="0"/>
        <v>46</v>
      </c>
      <c r="B47" s="4" t="s">
        <v>12</v>
      </c>
      <c r="C47" t="s">
        <v>10</v>
      </c>
      <c r="E47" t="s">
        <v>11</v>
      </c>
      <c r="F47" t="s">
        <v>122</v>
      </c>
      <c r="G47" s="4">
        <f>[1]Sheet1!C47</f>
        <v>4019</v>
      </c>
      <c r="H47" t="str">
        <f>[1]Sheet1!D47</f>
        <v>MICROPIPETA (MARCA CAPP, S/N AG 0718)</v>
      </c>
      <c r="I47" s="5" t="str">
        <f>[1]Sheet1!F47</f>
        <v>Malo</v>
      </c>
    </row>
    <row r="48" spans="1:9" x14ac:dyDescent="0.25">
      <c r="A48" s="4">
        <f t="shared" si="0"/>
        <v>47</v>
      </c>
      <c r="B48" s="4" t="s">
        <v>12</v>
      </c>
      <c r="C48" t="s">
        <v>10</v>
      </c>
      <c r="E48" t="s">
        <v>11</v>
      </c>
      <c r="F48" t="s">
        <v>122</v>
      </c>
      <c r="G48" s="4">
        <f>[1]Sheet1!C48</f>
        <v>4018</v>
      </c>
      <c r="H48" t="str">
        <f>[1]Sheet1!D48</f>
        <v>MICROPIPETA (MARCA CAPP, S/N AG 0717)</v>
      </c>
      <c r="I48" s="5" t="str">
        <f>[1]Sheet1!F48</f>
        <v>Malo</v>
      </c>
    </row>
    <row r="49" spans="1:9" x14ac:dyDescent="0.25">
      <c r="A49" s="4">
        <f t="shared" si="0"/>
        <v>48</v>
      </c>
      <c r="B49" s="4" t="s">
        <v>12</v>
      </c>
      <c r="C49" t="s">
        <v>10</v>
      </c>
      <c r="E49" t="s">
        <v>11</v>
      </c>
      <c r="F49" t="s">
        <v>122</v>
      </c>
      <c r="G49" s="4">
        <f>[1]Sheet1!C49</f>
        <v>4017</v>
      </c>
      <c r="H49" t="str">
        <f>[1]Sheet1!D49</f>
        <v>MICROPIPETA (MARCA CAPP, S/N AG 0716)</v>
      </c>
      <c r="I49" s="5" t="str">
        <f>[1]Sheet1!F49</f>
        <v>Malo</v>
      </c>
    </row>
    <row r="50" spans="1:9" x14ac:dyDescent="0.25">
      <c r="A50" s="4">
        <f t="shared" si="0"/>
        <v>49</v>
      </c>
      <c r="B50" s="4" t="s">
        <v>12</v>
      </c>
      <c r="C50" t="s">
        <v>10</v>
      </c>
      <c r="E50" t="s">
        <v>11</v>
      </c>
      <c r="F50" t="s">
        <v>122</v>
      </c>
      <c r="G50" s="4">
        <f>[1]Sheet1!C50</f>
        <v>4016</v>
      </c>
      <c r="H50" t="str">
        <f>[1]Sheet1!D50</f>
        <v>MICROPIPETA (MARCA CAPP, S/N AG 0715)</v>
      </c>
      <c r="I50" s="5" t="str">
        <f>[1]Sheet1!F50</f>
        <v>Regular</v>
      </c>
    </row>
    <row r="51" spans="1:9" x14ac:dyDescent="0.25">
      <c r="A51" s="4">
        <f t="shared" si="0"/>
        <v>50</v>
      </c>
      <c r="B51" s="4" t="s">
        <v>12</v>
      </c>
      <c r="C51" t="s">
        <v>10</v>
      </c>
      <c r="E51" t="s">
        <v>11</v>
      </c>
      <c r="F51" t="s">
        <v>122</v>
      </c>
      <c r="G51" s="4" t="str">
        <f>[1]Sheet1!C51</f>
        <v>4-05742</v>
      </c>
      <c r="H51" t="str">
        <f>[1]Sheet1!D51</f>
        <v>BA­O MARIA (DIGITAL, CAPACIDAD DE 3ML.) MARCA NAHITA, MODELO 636 PLUS. COLOR BLANCO SN¬ C72821.</v>
      </c>
      <c r="I51" s="5" t="str">
        <f>[1]Sheet1!F51</f>
        <v>Malo</v>
      </c>
    </row>
    <row r="52" spans="1:9" x14ac:dyDescent="0.25">
      <c r="A52" s="4">
        <f t="shared" si="0"/>
        <v>51</v>
      </c>
      <c r="B52" s="4" t="s">
        <v>12</v>
      </c>
      <c r="C52" t="s">
        <v>10</v>
      </c>
      <c r="E52" t="s">
        <v>11</v>
      </c>
      <c r="F52" t="s">
        <v>122</v>
      </c>
      <c r="G52" s="4" t="str">
        <f>[1]Sheet1!C52</f>
        <v>4-05743</v>
      </c>
      <c r="H52" t="str">
        <f>[1]Sheet1!D52</f>
        <v>BA­O MARIA (DIGITAL, CAPACIDAD DE 3ML.) MARCA NAHITA, MODELO 636 PLUS. COLOR BLANCO SN¬ C72813</v>
      </c>
      <c r="I52" s="5" t="str">
        <f>[1]Sheet1!F52</f>
        <v>Malo</v>
      </c>
    </row>
    <row r="53" spans="1:9" x14ac:dyDescent="0.25">
      <c r="A53" s="4">
        <f t="shared" si="0"/>
        <v>52</v>
      </c>
      <c r="B53" s="4" t="s">
        <v>12</v>
      </c>
      <c r="C53" t="s">
        <v>10</v>
      </c>
      <c r="E53" t="s">
        <v>11</v>
      </c>
      <c r="F53" t="s">
        <v>122</v>
      </c>
      <c r="G53" s="4" t="str">
        <f>[1]Sheet1!C53</f>
        <v>4-05716</v>
      </c>
      <c r="H53" t="str">
        <f>[1]Sheet1!D53</f>
        <v>BALANZA DE PRECISION (600X0.01G) COLOR NEGRO CON CARGADOR</v>
      </c>
      <c r="I53" s="5" t="str">
        <f>[1]Sheet1!F53</f>
        <v>Regular</v>
      </c>
    </row>
    <row r="54" spans="1:9" x14ac:dyDescent="0.25">
      <c r="A54" s="4">
        <f t="shared" si="0"/>
        <v>53</v>
      </c>
      <c r="B54" s="4" t="s">
        <v>12</v>
      </c>
      <c r="C54" t="s">
        <v>10</v>
      </c>
      <c r="E54" t="s">
        <v>11</v>
      </c>
      <c r="F54" t="s">
        <v>122</v>
      </c>
      <c r="G54" s="4" t="str">
        <f>[1]Sheet1!C54</f>
        <v>4-05715</v>
      </c>
      <c r="H54" t="str">
        <f>[1]Sheet1!D54</f>
        <v>BALANZA DE PRECISION (600X0.01G) COLOR NEGRO CON CARGADOR</v>
      </c>
      <c r="I54" s="5" t="str">
        <f>[1]Sheet1!F54</f>
        <v>Regular</v>
      </c>
    </row>
    <row r="55" spans="1:9" x14ac:dyDescent="0.25">
      <c r="A55" s="4">
        <f t="shared" si="0"/>
        <v>54</v>
      </c>
      <c r="B55" s="4" t="s">
        <v>12</v>
      </c>
      <c r="C55" t="s">
        <v>10</v>
      </c>
      <c r="E55" t="s">
        <v>11</v>
      </c>
      <c r="F55" t="s">
        <v>122</v>
      </c>
      <c r="G55" s="4" t="str">
        <f>[1]Sheet1!C55</f>
        <v>4-05714</v>
      </c>
      <c r="H55" t="str">
        <f>[1]Sheet1!D55</f>
        <v>BALANZA DE PRECISION (600X0.01G) COLOR NEGRO CON CARGADOR</v>
      </c>
      <c r="I55" s="5" t="str">
        <f>[1]Sheet1!F55</f>
        <v>Malo</v>
      </c>
    </row>
    <row r="56" spans="1:9" x14ac:dyDescent="0.25">
      <c r="A56" s="4">
        <f t="shared" si="0"/>
        <v>55</v>
      </c>
      <c r="B56" s="4" t="s">
        <v>12</v>
      </c>
      <c r="C56" t="s">
        <v>10</v>
      </c>
      <c r="E56" t="s">
        <v>11</v>
      </c>
      <c r="F56" t="s">
        <v>122</v>
      </c>
      <c r="G56" s="4" t="str">
        <f>[1]Sheet1!C56</f>
        <v>4-05713</v>
      </c>
      <c r="H56" t="str">
        <f>[1]Sheet1!D56</f>
        <v>BALANZA DE PRECISION (600X0.01G) COLOR NEGRO CON CARGADOR</v>
      </c>
      <c r="I56" s="5" t="str">
        <f>[1]Sheet1!F56</f>
        <v>Malo</v>
      </c>
    </row>
    <row r="57" spans="1:9" x14ac:dyDescent="0.25">
      <c r="A57" s="4">
        <f t="shared" si="0"/>
        <v>56</v>
      </c>
      <c r="B57" s="4" t="s">
        <v>12</v>
      </c>
      <c r="C57" t="s">
        <v>10</v>
      </c>
      <c r="E57" t="s">
        <v>11</v>
      </c>
      <c r="F57" t="s">
        <v>122</v>
      </c>
      <c r="G57" s="4" t="str">
        <f>[1]Sheet1!C57</f>
        <v>4-05712</v>
      </c>
      <c r="H57" t="str">
        <f>[1]Sheet1!D57</f>
        <v>BALANZA DE PRECISION (600X0.01G) COLOR NEGRO CON CARGADOR</v>
      </c>
      <c r="I57" s="5" t="str">
        <f>[1]Sheet1!F57</f>
        <v>Malo</v>
      </c>
    </row>
    <row r="58" spans="1:9" x14ac:dyDescent="0.25">
      <c r="A58" s="4">
        <f t="shared" si="0"/>
        <v>57</v>
      </c>
      <c r="B58" s="4" t="s">
        <v>12</v>
      </c>
      <c r="C58" t="s">
        <v>10</v>
      </c>
      <c r="E58" t="s">
        <v>11</v>
      </c>
      <c r="F58" t="s">
        <v>122</v>
      </c>
      <c r="G58" s="4" t="str">
        <f>[1]Sheet1!C58</f>
        <v>4-05711</v>
      </c>
      <c r="H58" t="str">
        <f>[1]Sheet1!D58</f>
        <v>BALANZA DE PRECISION (600X0.01G) COLOR NEGRO CON CARGADOR</v>
      </c>
      <c r="I58" s="5" t="str">
        <f>[1]Sheet1!F58</f>
        <v>Malo</v>
      </c>
    </row>
    <row r="59" spans="1:9" x14ac:dyDescent="0.25">
      <c r="A59" s="4">
        <f t="shared" si="0"/>
        <v>58</v>
      </c>
      <c r="B59" s="4" t="s">
        <v>12</v>
      </c>
      <c r="C59" t="s">
        <v>10</v>
      </c>
      <c r="E59" t="s">
        <v>11</v>
      </c>
      <c r="F59" t="s">
        <v>122</v>
      </c>
      <c r="G59" s="4" t="str">
        <f>[1]Sheet1!C59</f>
        <v>4-05693</v>
      </c>
      <c r="H59" t="str">
        <f>[1]Sheet1!D59</f>
        <v>BALANZA DE PRECISION (4500X0.01G) MARCA ADAM, MODELO PGW 4502I COLOR BLANCO CON CARGADOR SN + AE446L506.</v>
      </c>
      <c r="I59" s="5" t="str">
        <f>[1]Sheet1!F59</f>
        <v>Regular</v>
      </c>
    </row>
    <row r="60" spans="1:9" x14ac:dyDescent="0.25">
      <c r="A60" s="4">
        <f t="shared" si="0"/>
        <v>59</v>
      </c>
      <c r="B60" s="4" t="s">
        <v>12</v>
      </c>
      <c r="C60" t="s">
        <v>10</v>
      </c>
      <c r="E60" t="s">
        <v>11</v>
      </c>
      <c r="F60" t="s">
        <v>122</v>
      </c>
      <c r="G60" s="4" t="str">
        <f>[1]Sheet1!C60</f>
        <v>4-05694</v>
      </c>
      <c r="H60" t="str">
        <f>[1]Sheet1!D60</f>
        <v>BALANZA DE PRECISION (4500X0.01G) MARCA ADAM, MODELO PGW 4502I COLOR BLANCO CON CARGADOR SN + AE446L488.</v>
      </c>
      <c r="I60" s="5" t="str">
        <f>[1]Sheet1!F60</f>
        <v>Regular</v>
      </c>
    </row>
    <row r="61" spans="1:9" x14ac:dyDescent="0.25">
      <c r="A61" s="4">
        <f t="shared" si="0"/>
        <v>60</v>
      </c>
      <c r="B61" s="4" t="s">
        <v>12</v>
      </c>
      <c r="C61" t="s">
        <v>10</v>
      </c>
      <c r="E61" t="s">
        <v>11</v>
      </c>
      <c r="F61" t="s">
        <v>122</v>
      </c>
      <c r="G61" s="4" t="str">
        <f>[1]Sheet1!C61</f>
        <v>4-05698</v>
      </c>
      <c r="H61" t="str">
        <f>[1]Sheet1!D61</f>
        <v>BALANZA ANALITICA (600X0.001G) MARCA ADAM, MODELO PGW 603I COLOR BLANCO CON CARGADOR SN ¬ AE923L64</v>
      </c>
      <c r="I61" s="5" t="str">
        <f>[1]Sheet1!F61</f>
        <v>Regular</v>
      </c>
    </row>
    <row r="62" spans="1:9" x14ac:dyDescent="0.25">
      <c r="A62" s="4">
        <f t="shared" si="0"/>
        <v>61</v>
      </c>
      <c r="B62" s="4" t="s">
        <v>12</v>
      </c>
      <c r="C62" t="s">
        <v>10</v>
      </c>
      <c r="E62" t="s">
        <v>11</v>
      </c>
      <c r="F62" t="s">
        <v>122</v>
      </c>
      <c r="G62" s="4" t="str">
        <f>[1]Sheet1!C62</f>
        <v>4-05696</v>
      </c>
      <c r="H62" t="str">
        <f>[1]Sheet1!D62</f>
        <v>BALANZA ANALITICA (600X0.001G) MARCA ADAM, MODELO PGW 603I COLOR BLANCO CON CARGADOR SN ¬ AE923L57.</v>
      </c>
      <c r="I62" s="5" t="str">
        <f>[1]Sheet1!F62</f>
        <v>Regular</v>
      </c>
    </row>
    <row r="63" spans="1:9" x14ac:dyDescent="0.25">
      <c r="A63" s="4">
        <f t="shared" si="0"/>
        <v>62</v>
      </c>
      <c r="B63" s="4" t="s">
        <v>12</v>
      </c>
      <c r="C63" t="s">
        <v>10</v>
      </c>
      <c r="E63" t="s">
        <v>11</v>
      </c>
      <c r="F63" t="s">
        <v>122</v>
      </c>
      <c r="G63" s="4" t="str">
        <f>[1]Sheet1!C63</f>
        <v>4-05697</v>
      </c>
      <c r="H63" t="str">
        <f>[1]Sheet1!D63</f>
        <v>BALANZA ANALITICA (600X0.001G) MARCA ADAM, MODELO PGW 603I COLOR BLANCO CON CARGADOR SN ¬ AE923L47.</v>
      </c>
      <c r="I63" s="5" t="str">
        <f>[1]Sheet1!F63</f>
        <v>Regular</v>
      </c>
    </row>
    <row r="64" spans="1:9" x14ac:dyDescent="0.25">
      <c r="A64" s="4">
        <f t="shared" si="0"/>
        <v>63</v>
      </c>
      <c r="B64" s="4" t="s">
        <v>12</v>
      </c>
      <c r="C64" t="s">
        <v>10</v>
      </c>
      <c r="E64" t="s">
        <v>11</v>
      </c>
      <c r="F64" t="s">
        <v>122</v>
      </c>
      <c r="G64" s="4" t="str">
        <f>[1]Sheet1!C64</f>
        <v>4-05744</v>
      </c>
      <c r="H64" t="str">
        <f>[1]Sheet1!D64</f>
        <v>DESTILADOR DE AGUA: MARCA, GFL; MODELO, 2012; PROCEDENCIA ALEMANIA, COLOR CREMA</v>
      </c>
      <c r="I64" s="5" t="str">
        <f>[1]Sheet1!F64</f>
        <v>Malo</v>
      </c>
    </row>
    <row r="65" spans="1:9" x14ac:dyDescent="0.25">
      <c r="A65" s="4">
        <f t="shared" si="0"/>
        <v>64</v>
      </c>
      <c r="B65" s="4" t="s">
        <v>12</v>
      </c>
      <c r="C65" t="s">
        <v>10</v>
      </c>
      <c r="E65" t="s">
        <v>11</v>
      </c>
      <c r="F65" t="s">
        <v>122</v>
      </c>
      <c r="G65" s="4" t="str">
        <f>[1]Sheet1!C65</f>
        <v>4-05438</v>
      </c>
      <c r="H65" t="str">
        <f>[1]Sheet1!D65</f>
        <v>DESTILADOR DE AGUA: MARCA, GFL; MODELO, 2012; PROCEDENCIA ALEMANIA, COLOR CREMA</v>
      </c>
      <c r="I65" s="5" t="str">
        <f>[1]Sheet1!F65</f>
        <v>Regular</v>
      </c>
    </row>
    <row r="66" spans="1:9" x14ac:dyDescent="0.25">
      <c r="A66" s="4">
        <f t="shared" si="0"/>
        <v>65</v>
      </c>
      <c r="B66" s="4" t="s">
        <v>12</v>
      </c>
      <c r="C66" t="s">
        <v>10</v>
      </c>
      <c r="E66" t="s">
        <v>11</v>
      </c>
      <c r="F66" t="s">
        <v>122</v>
      </c>
      <c r="G66" s="4" t="str">
        <f>[1]Sheet1!C66</f>
        <v>4-05724</v>
      </c>
      <c r="H66" t="str">
        <f>[1]Sheet1!D66</f>
        <v>PH METRO DE MESA (RANGO 0 A 14 PH, RESOLUCION 0.01) SN¬ JC00077.</v>
      </c>
      <c r="I66" s="5" t="str">
        <f>[1]Sheet1!F66</f>
        <v>Regular</v>
      </c>
    </row>
    <row r="67" spans="1:9" x14ac:dyDescent="0.25">
      <c r="A67" s="4">
        <f t="shared" si="0"/>
        <v>66</v>
      </c>
      <c r="B67" s="4" t="s">
        <v>12</v>
      </c>
      <c r="C67" t="s">
        <v>10</v>
      </c>
      <c r="E67" t="s">
        <v>11</v>
      </c>
      <c r="F67" t="s">
        <v>122</v>
      </c>
      <c r="G67" s="4" t="str">
        <f>[1]Sheet1!C67</f>
        <v>4-05723</v>
      </c>
      <c r="H67" t="str">
        <f>[1]Sheet1!D67</f>
        <v>PH METRO DE MESA (RANGO 0 A 14 PH, RESOLUCION 0.01) SN¬ JC00076</v>
      </c>
      <c r="I67" s="5" t="str">
        <f>[1]Sheet1!F67</f>
        <v>Regular</v>
      </c>
    </row>
    <row r="68" spans="1:9" x14ac:dyDescent="0.25">
      <c r="A68" s="4">
        <f t="shared" ref="A68:A131" si="1">A67+1</f>
        <v>67</v>
      </c>
      <c r="B68" s="4" t="s">
        <v>12</v>
      </c>
      <c r="C68" t="s">
        <v>10</v>
      </c>
      <c r="E68" t="s">
        <v>11</v>
      </c>
      <c r="F68" t="s">
        <v>122</v>
      </c>
      <c r="G68" s="4" t="str">
        <f>[1]Sheet1!C68</f>
        <v>4-05725</v>
      </c>
      <c r="H68" t="str">
        <f>[1]Sheet1!D68</f>
        <v>PH METRO DE MESA (RANGO 0 A 14 PH, RESOLUCION 0.01) SN ¬ JC00063.</v>
      </c>
      <c r="I68" s="5" t="str">
        <f>[1]Sheet1!F68</f>
        <v>Regular</v>
      </c>
    </row>
    <row r="69" spans="1:9" x14ac:dyDescent="0.25">
      <c r="A69" s="4">
        <f t="shared" si="1"/>
        <v>68</v>
      </c>
      <c r="B69" s="4" t="s">
        <v>12</v>
      </c>
      <c r="C69" t="s">
        <v>10</v>
      </c>
      <c r="E69" t="s">
        <v>11</v>
      </c>
      <c r="F69" t="s">
        <v>122</v>
      </c>
      <c r="G69" s="4" t="str">
        <f>[1]Sheet1!C69</f>
        <v>4-11636</v>
      </c>
      <c r="H69" t="str">
        <f>[1]Sheet1!D69</f>
        <v>BALANZA DE PRECISION MARCA RADWAG MODELO PS,4500.X2.M S/N 783232 PROCEDENCIA POLONIA</v>
      </c>
      <c r="I69" s="5" t="str">
        <f>[1]Sheet1!F69</f>
        <v>Regular</v>
      </c>
    </row>
    <row r="70" spans="1:9" x14ac:dyDescent="0.25">
      <c r="A70" s="4">
        <f t="shared" si="1"/>
        <v>69</v>
      </c>
      <c r="B70" s="4" t="s">
        <v>12</v>
      </c>
      <c r="C70" t="s">
        <v>10</v>
      </c>
      <c r="E70" t="s">
        <v>11</v>
      </c>
      <c r="F70" t="s">
        <v>122</v>
      </c>
      <c r="G70" s="4" t="str">
        <f>[1]Sheet1!C70</f>
        <v>4-011372</v>
      </c>
      <c r="H70" t="str">
        <f>[1]Sheet1!D70</f>
        <v>BALANZA ANALITICA PROFESIONAL MARCA RADWAG MODELO A S 520.X2 PLUS PROCEDENCIA POLONIA SERIE 758025</v>
      </c>
      <c r="I70" s="5" t="str">
        <f>[1]Sheet1!F70</f>
        <v>Regular</v>
      </c>
    </row>
    <row r="71" spans="1:9" x14ac:dyDescent="0.25">
      <c r="A71" s="4">
        <f t="shared" si="1"/>
        <v>70</v>
      </c>
      <c r="B71" s="4" t="s">
        <v>12</v>
      </c>
      <c r="C71" t="s">
        <v>10</v>
      </c>
      <c r="E71" t="s">
        <v>11</v>
      </c>
      <c r="F71" t="s">
        <v>122</v>
      </c>
      <c r="G71" s="4" t="str">
        <f>[1]Sheet1!C71</f>
        <v>4-011375</v>
      </c>
      <c r="H71" t="str">
        <f>[1]Sheet1!D71</f>
        <v>BALANZA DE PRECISION MARCA RADWAG MODELO PS4500.X2. M PROCEDENCIA POLONIA SERIE 694745</v>
      </c>
      <c r="I71" s="5" t="str">
        <f>[1]Sheet1!F71</f>
        <v>Regular</v>
      </c>
    </row>
    <row r="72" spans="1:9" x14ac:dyDescent="0.25">
      <c r="A72" s="4">
        <f t="shared" si="1"/>
        <v>71</v>
      </c>
      <c r="B72" s="4" t="s">
        <v>12</v>
      </c>
      <c r="C72" t="s">
        <v>10</v>
      </c>
      <c r="E72" t="s">
        <v>11</v>
      </c>
      <c r="F72" t="s">
        <v>122</v>
      </c>
      <c r="G72" s="4" t="str">
        <f>[1]Sheet1!C72</f>
        <v>4-05709</v>
      </c>
      <c r="H72" t="str">
        <f>[1]Sheet1!D72</f>
        <v>HORNILLA PARA CALENTAMIENTO (MARCA BARNSTEAD, MOD. SP 131010-33, S/N 1310050571936) COLOR AMARILLO/ BLANCO</v>
      </c>
      <c r="I72" s="5" t="str">
        <f>[1]Sheet1!F72</f>
        <v>Regular</v>
      </c>
    </row>
    <row r="73" spans="1:9" x14ac:dyDescent="0.25">
      <c r="A73" s="4">
        <f t="shared" si="1"/>
        <v>72</v>
      </c>
      <c r="B73" s="4" t="s">
        <v>12</v>
      </c>
      <c r="C73" t="s">
        <v>10</v>
      </c>
      <c r="E73" t="s">
        <v>11</v>
      </c>
      <c r="F73" t="s">
        <v>122</v>
      </c>
      <c r="G73" s="4" t="str">
        <f>[1]Sheet1!C73</f>
        <v>4-05710</v>
      </c>
      <c r="H73" t="str">
        <f>[1]Sheet1!D73</f>
        <v>HORNILLA PARA CALENTAMIENTO (MARCA BARNSTEAD, MOD. SP 131010-33, S/N 1310050571933) COLOR AMARILLO/ BLANCO</v>
      </c>
      <c r="I73" s="5" t="str">
        <f>[1]Sheet1!F73</f>
        <v>Regular</v>
      </c>
    </row>
    <row r="74" spans="1:9" x14ac:dyDescent="0.25">
      <c r="A74" s="4">
        <f t="shared" si="1"/>
        <v>73</v>
      </c>
      <c r="B74" s="4" t="s">
        <v>12</v>
      </c>
      <c r="C74" t="s">
        <v>10</v>
      </c>
      <c r="E74" t="s">
        <v>11</v>
      </c>
      <c r="F74" t="s">
        <v>122</v>
      </c>
      <c r="G74" s="4" t="str">
        <f>[1]Sheet1!C74</f>
        <v>4-05706</v>
      </c>
      <c r="H74" t="str">
        <f>[1]Sheet1!D74</f>
        <v>HORNILLA PARA CALENTAMIENTO (MARCA BARNSTEAD, MOD. SP 131010-33, S/N 1310050570972) COLOR AMARILLO/ BLANCO</v>
      </c>
      <c r="I74" s="5" t="str">
        <f>[1]Sheet1!F74</f>
        <v>Regular</v>
      </c>
    </row>
    <row r="75" spans="1:9" x14ac:dyDescent="0.25">
      <c r="A75" s="4">
        <f t="shared" si="1"/>
        <v>74</v>
      </c>
      <c r="B75" s="4" t="s">
        <v>12</v>
      </c>
      <c r="C75" t="s">
        <v>10</v>
      </c>
      <c r="E75" t="s">
        <v>11</v>
      </c>
      <c r="F75" t="s">
        <v>122</v>
      </c>
      <c r="G75" s="4" t="str">
        <f>[1]Sheet1!C75</f>
        <v>4-05708</v>
      </c>
      <c r="H75" t="str">
        <f>[1]Sheet1!D75</f>
        <v>HORNILLA PARA CALENTAMIENTO (MARCA BARNSTEAD, MOD. SP 131010-33, S/N 1310050570971)COLOR AMARILLO/ BLANCO</v>
      </c>
      <c r="I75" s="5" t="str">
        <f>[1]Sheet1!F75</f>
        <v>Regular</v>
      </c>
    </row>
    <row r="76" spans="1:9" x14ac:dyDescent="0.25">
      <c r="A76" s="4">
        <f t="shared" si="1"/>
        <v>75</v>
      </c>
      <c r="B76" s="4" t="s">
        <v>12</v>
      </c>
      <c r="C76" t="s">
        <v>10</v>
      </c>
      <c r="E76" t="s">
        <v>11</v>
      </c>
      <c r="F76" t="s">
        <v>122</v>
      </c>
      <c r="G76" s="4" t="str">
        <f>[1]Sheet1!C76</f>
        <v>4-05707</v>
      </c>
      <c r="H76" t="str">
        <f>[1]Sheet1!D76</f>
        <v>HORNILLA PARA CALENTAMIENTO (MARCA BARNSTEAD, MOD. SP 131010-33, S/N 1310050570965) COLOR AMARILLO/ BLANCO</v>
      </c>
      <c r="I76" s="5" t="str">
        <f>[1]Sheet1!F76</f>
        <v>Regular</v>
      </c>
    </row>
    <row r="77" spans="1:9" x14ac:dyDescent="0.25">
      <c r="A77" s="4">
        <f t="shared" si="1"/>
        <v>76</v>
      </c>
      <c r="B77" s="4" t="s">
        <v>12</v>
      </c>
      <c r="C77" t="s">
        <v>10</v>
      </c>
      <c r="E77" t="s">
        <v>11</v>
      </c>
      <c r="F77" t="s">
        <v>122</v>
      </c>
      <c r="G77" s="4" t="str">
        <f>[1]Sheet1!C77</f>
        <v>4-05736</v>
      </c>
      <c r="H77" t="str">
        <f>[1]Sheet1!D77</f>
        <v>ESTACION DE PUNTO DE FUSION ( RANGO HASTA 260¬C Y RESOLUCION 0.1¬C. MARCA VERNIER, MODELO MELT ESTATION COLOR NEGRO SN¬ B003258</v>
      </c>
      <c r="I77" s="5" t="str">
        <f>[1]Sheet1!F77</f>
        <v>Regular</v>
      </c>
    </row>
    <row r="78" spans="1:9" x14ac:dyDescent="0.25">
      <c r="A78" s="4">
        <f t="shared" si="1"/>
        <v>77</v>
      </c>
      <c r="B78" s="4" t="s">
        <v>12</v>
      </c>
      <c r="C78" t="s">
        <v>10</v>
      </c>
      <c r="E78" t="s">
        <v>11</v>
      </c>
      <c r="F78" t="s">
        <v>122</v>
      </c>
      <c r="G78" s="4" t="str">
        <f>[1]Sheet1!C78</f>
        <v>4-05737</v>
      </c>
      <c r="H78" t="str">
        <f>[1]Sheet1!D78</f>
        <v>ESTACION DE PUNTO DE FUSION ( RANGO HASTA 260¬C Y RESOLUCION 0.1¬C. MARCA VERNIER, MODELO MELT ESTATION COLOR NEGRO SN¬ B003213.</v>
      </c>
      <c r="I78" s="5" t="str">
        <f>[1]Sheet1!F78</f>
        <v>Regular</v>
      </c>
    </row>
    <row r="79" spans="1:9" x14ac:dyDescent="0.25">
      <c r="A79" s="4">
        <f t="shared" si="1"/>
        <v>78</v>
      </c>
      <c r="B79" s="4" t="s">
        <v>12</v>
      </c>
      <c r="C79" t="s">
        <v>10</v>
      </c>
      <c r="E79" t="s">
        <v>11</v>
      </c>
      <c r="F79" t="s">
        <v>122</v>
      </c>
      <c r="G79" s="4" t="str">
        <f>[1]Sheet1!C79</f>
        <v>4-05738</v>
      </c>
      <c r="H79" t="str">
        <f>[1]Sheet1!D79</f>
        <v>ESTACION DE PUNTO DE FUSION ( RANGO HASTA 260¬C Y RESOLUCION 0.1¬C. MARCA VERNIER, MODELO MELT ESTATION COLOR NEGRO SN¬ B003209</v>
      </c>
      <c r="I79" s="5" t="str">
        <f>[1]Sheet1!F79</f>
        <v>Regular</v>
      </c>
    </row>
    <row r="80" spans="1:9" x14ac:dyDescent="0.25">
      <c r="A80" s="4">
        <f t="shared" si="1"/>
        <v>79</v>
      </c>
      <c r="B80" s="4" t="s">
        <v>12</v>
      </c>
      <c r="C80" t="s">
        <v>10</v>
      </c>
      <c r="E80" t="s">
        <v>11</v>
      </c>
      <c r="F80" t="s">
        <v>122</v>
      </c>
      <c r="G80" s="4">
        <f>[1]Sheet1!C80</f>
        <v>4015</v>
      </c>
      <c r="H80" t="str">
        <f>[1]Sheet1!D80</f>
        <v>MORTERO DE PORCELANA CON PIL-NLABORATORIO DE QUIMICAPEQUE­O</v>
      </c>
      <c r="I80" s="5" t="str">
        <f>[1]Sheet1!F80</f>
        <v>Malo</v>
      </c>
    </row>
    <row r="81" spans="1:9" x14ac:dyDescent="0.25">
      <c r="A81" s="4">
        <f t="shared" si="1"/>
        <v>80</v>
      </c>
      <c r="B81" s="4" t="s">
        <v>12</v>
      </c>
      <c r="C81" t="s">
        <v>10</v>
      </c>
      <c r="E81" t="s">
        <v>11</v>
      </c>
      <c r="F81" t="s">
        <v>122</v>
      </c>
      <c r="G81" s="4">
        <f>[1]Sheet1!C81</f>
        <v>4014</v>
      </c>
      <c r="H81" t="str">
        <f>[1]Sheet1!D81</f>
        <v>MORTERO DE PORCELANA CON PIL-NLABORATORIO DE QUIMICAPEQUE­O</v>
      </c>
      <c r="I81" s="5" t="str">
        <f>[1]Sheet1!F81</f>
        <v>Malo</v>
      </c>
    </row>
    <row r="82" spans="1:9" x14ac:dyDescent="0.25">
      <c r="A82" s="4">
        <f t="shared" si="1"/>
        <v>81</v>
      </c>
      <c r="B82" s="4" t="s">
        <v>12</v>
      </c>
      <c r="C82" t="s">
        <v>10</v>
      </c>
      <c r="E82" t="s">
        <v>11</v>
      </c>
      <c r="F82" t="s">
        <v>122</v>
      </c>
      <c r="G82" s="4">
        <f>[1]Sheet1!C82</f>
        <v>4013</v>
      </c>
      <c r="H82" t="str">
        <f>[1]Sheet1!D82</f>
        <v>MORTERO DE PORCELANA CON PIL-NLABORATORIO DE QUIMICAPEQUE­O</v>
      </c>
      <c r="I82" s="5" t="str">
        <f>[1]Sheet1!F82</f>
        <v>Malo</v>
      </c>
    </row>
    <row r="83" spans="1:9" x14ac:dyDescent="0.25">
      <c r="A83" s="4">
        <f t="shared" si="1"/>
        <v>82</v>
      </c>
      <c r="B83" s="4" t="s">
        <v>12</v>
      </c>
      <c r="C83" t="s">
        <v>10</v>
      </c>
      <c r="E83" t="s">
        <v>11</v>
      </c>
      <c r="F83" t="s">
        <v>122</v>
      </c>
      <c r="G83" s="4">
        <f>[1]Sheet1!C83</f>
        <v>4012</v>
      </c>
      <c r="H83" t="str">
        <f>[1]Sheet1!D83</f>
        <v>MORTERO DE PORCELANA CON PIL-NLABORATORIO DE QUIMICAPEQUE­O</v>
      </c>
      <c r="I83" s="5" t="str">
        <f>[1]Sheet1!F83</f>
        <v>Malo</v>
      </c>
    </row>
    <row r="84" spans="1:9" x14ac:dyDescent="0.25">
      <c r="A84" s="4">
        <f t="shared" si="1"/>
        <v>83</v>
      </c>
      <c r="B84" s="4" t="s">
        <v>12</v>
      </c>
      <c r="C84" t="s">
        <v>10</v>
      </c>
      <c r="E84" t="s">
        <v>11</v>
      </c>
      <c r="F84" t="s">
        <v>122</v>
      </c>
      <c r="G84" s="4">
        <f>[1]Sheet1!C84</f>
        <v>4011</v>
      </c>
      <c r="H84" t="str">
        <f>[1]Sheet1!D84</f>
        <v>MORTERO DE PORCELANA CON PIL-NLABORATORIO DE QUIMICAPEQUE­O</v>
      </c>
      <c r="I84" s="5" t="str">
        <f>[1]Sheet1!F84</f>
        <v>Malo</v>
      </c>
    </row>
    <row r="85" spans="1:9" x14ac:dyDescent="0.25">
      <c r="A85" s="4">
        <f t="shared" si="1"/>
        <v>84</v>
      </c>
      <c r="B85" s="4" t="s">
        <v>12</v>
      </c>
      <c r="C85" t="s">
        <v>10</v>
      </c>
      <c r="E85" t="s">
        <v>11</v>
      </c>
      <c r="F85" t="s">
        <v>122</v>
      </c>
      <c r="G85" s="4">
        <f>[1]Sheet1!C85</f>
        <v>4010</v>
      </c>
      <c r="H85" t="str">
        <f>[1]Sheet1!D85</f>
        <v>MORTERO DE PORCELANA CON PIL-NLABORATORIO DE QUIMICAPEQUE­O</v>
      </c>
      <c r="I85" s="5" t="str">
        <f>[1]Sheet1!F85</f>
        <v>Malo</v>
      </c>
    </row>
    <row r="86" spans="1:9" x14ac:dyDescent="0.25">
      <c r="A86" s="4">
        <f t="shared" si="1"/>
        <v>85</v>
      </c>
      <c r="B86" s="4" t="s">
        <v>12</v>
      </c>
      <c r="C86" t="s">
        <v>10</v>
      </c>
      <c r="E86" t="s">
        <v>11</v>
      </c>
      <c r="F86" t="s">
        <v>122</v>
      </c>
      <c r="G86" s="4" t="str">
        <f>[1]Sheet1!C86</f>
        <v>4-05746</v>
      </c>
      <c r="H86" t="str">
        <f>[1]Sheet1!D86</f>
        <v>UPS + ESTABILIZADOR 750 VA 375 W FORZA</v>
      </c>
      <c r="I86" s="5" t="str">
        <f>[1]Sheet1!F86</f>
        <v>Malo</v>
      </c>
    </row>
    <row r="87" spans="1:9" x14ac:dyDescent="0.25">
      <c r="A87" s="4">
        <f t="shared" si="1"/>
        <v>86</v>
      </c>
      <c r="B87" s="4" t="s">
        <v>12</v>
      </c>
      <c r="C87" t="s">
        <v>10</v>
      </c>
      <c r="E87" t="s">
        <v>11</v>
      </c>
      <c r="F87" t="s">
        <v>122</v>
      </c>
      <c r="G87" s="4" t="str">
        <f>[1]Sheet1!C87</f>
        <v>4-05747</v>
      </c>
      <c r="H87" t="str">
        <f>[1]Sheet1!D87</f>
        <v>UPS + ESTABILIZADOR 2200 VA 1200 W FORZA</v>
      </c>
      <c r="I87" s="5" t="str">
        <f>[1]Sheet1!F87</f>
        <v>Malo</v>
      </c>
    </row>
    <row r="88" spans="1:9" x14ac:dyDescent="0.25">
      <c r="A88" s="4">
        <f t="shared" si="1"/>
        <v>87</v>
      </c>
      <c r="B88" s="4" t="s">
        <v>12</v>
      </c>
      <c r="C88" t="s">
        <v>10</v>
      </c>
      <c r="E88" t="s">
        <v>11</v>
      </c>
      <c r="F88" t="s">
        <v>122</v>
      </c>
      <c r="G88" s="4">
        <f>[1]Sheet1!C88</f>
        <v>7785</v>
      </c>
      <c r="H88" t="str">
        <f>[1]Sheet1!D88</f>
        <v>UPS + ESTABILIZADOR 2.1 KILOW SURE</v>
      </c>
      <c r="I88" s="5" t="str">
        <f>[1]Sheet1!F88</f>
        <v>Malo</v>
      </c>
    </row>
    <row r="89" spans="1:9" x14ac:dyDescent="0.25">
      <c r="A89" s="4">
        <f t="shared" si="1"/>
        <v>88</v>
      </c>
      <c r="B89" s="4" t="s">
        <v>12</v>
      </c>
      <c r="C89" t="s">
        <v>10</v>
      </c>
      <c r="E89" t="s">
        <v>11</v>
      </c>
      <c r="F89" t="s">
        <v>122</v>
      </c>
      <c r="G89" s="4" t="str">
        <f>[1]Sheet1!C89</f>
        <v>4-00297</v>
      </c>
      <c r="H89" t="str">
        <f>[1]Sheet1!D89</f>
        <v>MONITOR SAMSUNG DE 21,5 PULGADAS LCD CON ALIMENTACION DIRECTA MODELO 0033</v>
      </c>
      <c r="I89" s="5" t="str">
        <f>[1]Sheet1!F89</f>
        <v>Regular</v>
      </c>
    </row>
    <row r="90" spans="1:9" x14ac:dyDescent="0.25">
      <c r="A90" s="4">
        <f t="shared" si="1"/>
        <v>89</v>
      </c>
      <c r="B90" s="4" t="s">
        <v>12</v>
      </c>
      <c r="C90" t="s">
        <v>10</v>
      </c>
      <c r="E90" t="s">
        <v>11</v>
      </c>
      <c r="F90" t="s">
        <v>122</v>
      </c>
      <c r="G90" s="4" t="str">
        <f>[1]Sheet1!C90</f>
        <v>4-05999</v>
      </c>
      <c r="H90" t="str">
        <f>[1]Sheet1!D90</f>
        <v>COMPRESORA DE AIRE (2,5 HP, 60 LITROS DE CAPACIDAD) MOD. LB50F MARCA POWER USA, COLOR AZUL OSCURO</v>
      </c>
      <c r="I90" s="5" t="str">
        <f>[1]Sheet1!F90</f>
        <v>Regular</v>
      </c>
    </row>
    <row r="91" spans="1:9" x14ac:dyDescent="0.25">
      <c r="A91" s="4">
        <f t="shared" si="1"/>
        <v>90</v>
      </c>
      <c r="B91" s="4" t="s">
        <v>12</v>
      </c>
      <c r="C91" t="s">
        <v>10</v>
      </c>
      <c r="E91" t="s">
        <v>11</v>
      </c>
      <c r="F91" t="s">
        <v>122</v>
      </c>
      <c r="G91" s="4" t="str">
        <f>[1]Sheet1!C91</f>
        <v>4-00300</v>
      </c>
      <c r="H91" t="str">
        <f>[1]Sheet1!D91</f>
        <v>CPU TIPO A T.MADRE 04KX MPROS.0704 D.DURO 1TERA C76V, LECT.QUEM LG 8766, T.VID 0033 T.RED 2554 M.RAN 4GIGA 5VL38DTLD1</v>
      </c>
      <c r="I91" s="5" t="str">
        <f>[1]Sheet1!F91</f>
        <v>Regular</v>
      </c>
    </row>
    <row r="92" spans="1:9" x14ac:dyDescent="0.25">
      <c r="A92" s="4">
        <f t="shared" si="1"/>
        <v>91</v>
      </c>
      <c r="B92" s="4" t="s">
        <v>12</v>
      </c>
      <c r="C92" t="s">
        <v>10</v>
      </c>
      <c r="E92" t="s">
        <v>11</v>
      </c>
      <c r="F92" t="s">
        <v>122</v>
      </c>
      <c r="G92" s="4" t="str">
        <f>[1]Sheet1!C92</f>
        <v>4-05728</v>
      </c>
      <c r="H92" t="str">
        <f>[1]Sheet1!D92</f>
        <v>ESPECTROFOTOMETRO VISIBLE ( RANGO380 - 950 MM.) COLOR NEGRO CON CARGADOR, CABLE USB, SN¬ S08085.</v>
      </c>
      <c r="I92" s="5" t="str">
        <f>[1]Sheet1!F92</f>
        <v>Regular</v>
      </c>
    </row>
    <row r="93" spans="1:9" x14ac:dyDescent="0.25">
      <c r="A93" s="4">
        <f t="shared" si="1"/>
        <v>92</v>
      </c>
      <c r="B93" s="4" t="s">
        <v>12</v>
      </c>
      <c r="C93" t="s">
        <v>10</v>
      </c>
      <c r="E93" t="s">
        <v>11</v>
      </c>
      <c r="F93" t="s">
        <v>122</v>
      </c>
      <c r="G93" s="4" t="str">
        <f>[1]Sheet1!C93</f>
        <v>4-05730</v>
      </c>
      <c r="H93" t="str">
        <f>[1]Sheet1!D93</f>
        <v>ESPECTROFOTOMETRO VISIBLE ( RANGO380 - 950 MM.) COLOR NEGRO CON CARGADOR, CABLE USB, SN¬ S08072</v>
      </c>
      <c r="I93" s="5" t="str">
        <f>[1]Sheet1!F93</f>
        <v>Regular</v>
      </c>
    </row>
    <row r="94" spans="1:9" x14ac:dyDescent="0.25">
      <c r="A94" s="4">
        <f t="shared" si="1"/>
        <v>93</v>
      </c>
      <c r="B94" s="4" t="s">
        <v>12</v>
      </c>
      <c r="C94" t="s">
        <v>10</v>
      </c>
      <c r="E94" t="s">
        <v>11</v>
      </c>
      <c r="F94" t="s">
        <v>122</v>
      </c>
      <c r="G94" s="4" t="str">
        <f>[1]Sheet1!C94</f>
        <v>4-05729</v>
      </c>
      <c r="H94" t="str">
        <f>[1]Sheet1!D94</f>
        <v>ESPECTROFOTOMETRO VISIBLE ( RANGO380 - 950 MM.) COLOR NEGRO CON CARGADOR, CABLE USB, SN¬ S07882</v>
      </c>
      <c r="I94" s="5" t="str">
        <f>[1]Sheet1!F94</f>
        <v>Regular</v>
      </c>
    </row>
    <row r="95" spans="1:9" x14ac:dyDescent="0.25">
      <c r="A95" s="4">
        <f t="shared" si="1"/>
        <v>94</v>
      </c>
      <c r="B95" s="4" t="s">
        <v>12</v>
      </c>
      <c r="C95" t="s">
        <v>10</v>
      </c>
      <c r="E95" t="s">
        <v>11</v>
      </c>
      <c r="F95" t="s">
        <v>122</v>
      </c>
      <c r="G95" s="4" t="str">
        <f>[1]Sheet1!C95</f>
        <v>4-05731</v>
      </c>
      <c r="H95" t="str">
        <f>[1]Sheet1!D95</f>
        <v>ESPECTROFOTOMETRO VISIBLE ( RANGO380 - 950 MM.) COLOR NEGRO CON CARGADOR, CABLE USB, SN¬ S07868</v>
      </c>
      <c r="I95" s="5" t="str">
        <f>[1]Sheet1!F95</f>
        <v>Regular</v>
      </c>
    </row>
    <row r="96" spans="1:9" x14ac:dyDescent="0.25">
      <c r="A96" s="4">
        <f t="shared" si="1"/>
        <v>95</v>
      </c>
      <c r="B96" s="4" t="s">
        <v>12</v>
      </c>
      <c r="C96" t="s">
        <v>10</v>
      </c>
      <c r="E96" t="s">
        <v>11</v>
      </c>
      <c r="F96" t="s">
        <v>122</v>
      </c>
      <c r="G96" s="4" t="str">
        <f>[1]Sheet1!C96</f>
        <v>4-09571</v>
      </c>
      <c r="H96" t="str">
        <f>[1]Sheet1!D96</f>
        <v>PROYECTOR EPSON MODELO + 41 - 3600 LUMENES RESOLUCION 1024 X768 LAMPARA 200W S/N X4HS7Z01624</v>
      </c>
      <c r="I96" s="5" t="str">
        <f>[1]Sheet1!F96</f>
        <v>Regular</v>
      </c>
    </row>
    <row r="97" spans="1:9" x14ac:dyDescent="0.25">
      <c r="A97" s="4">
        <f t="shared" si="1"/>
        <v>96</v>
      </c>
      <c r="B97" s="4" t="s">
        <v>12</v>
      </c>
      <c r="C97" t="str">
        <f>'[2]LAB CIVIL'!$C$4</f>
        <v>DIEGO LEONARDO SIMONS LINARES</v>
      </c>
      <c r="E97" t="s">
        <v>13</v>
      </c>
      <c r="F97" t="s">
        <v>123</v>
      </c>
      <c r="G97" s="4" t="str">
        <f>'[2]LAB CIVIL'!B9</f>
        <v>4-11511</v>
      </c>
      <c r="H97" t="str">
        <f>'[2]LAB CIVIL'!C9</f>
        <v>ESCLEROMETRO MARCA MATEST MODELO C380 NUMERO DE SERIE C380-BC/0036 PROCEDENCIA ITALIA</v>
      </c>
      <c r="I97" s="5" t="str">
        <f>'[2]LAB CIVIL'!D9</f>
        <v>Regular</v>
      </c>
    </row>
    <row r="98" spans="1:9" x14ac:dyDescent="0.25">
      <c r="A98" s="4">
        <f t="shared" si="1"/>
        <v>97</v>
      </c>
      <c r="B98" s="4" t="s">
        <v>12</v>
      </c>
      <c r="C98" t="str">
        <f>'[2]LAB CIVIL'!$C$4</f>
        <v>DIEGO LEONARDO SIMONS LINARES</v>
      </c>
      <c r="E98" t="s">
        <v>13</v>
      </c>
      <c r="F98" t="s">
        <v>123</v>
      </c>
      <c r="G98" s="4" t="str">
        <f>'[2]LAB CIVIL'!B10</f>
        <v>4-11512</v>
      </c>
      <c r="H98" t="str">
        <f>'[2]LAB CIVIL'!C10</f>
        <v>ESCLEROMETRO MARCA MATEST MODELO C380 NUMERO DE SERIE C380-BC/0029 PROCEDENCIA ITALIA</v>
      </c>
      <c r="I98" s="5" t="str">
        <f>'[2]LAB CIVIL'!D10</f>
        <v>Regular</v>
      </c>
    </row>
    <row r="99" spans="1:9" x14ac:dyDescent="0.25">
      <c r="A99" s="4">
        <f t="shared" si="1"/>
        <v>98</v>
      </c>
      <c r="B99" s="4" t="s">
        <v>12</v>
      </c>
      <c r="C99" t="str">
        <f>'[2]LAB CIVIL'!$C$4</f>
        <v>DIEGO LEONARDO SIMONS LINARES</v>
      </c>
      <c r="E99" t="s">
        <v>13</v>
      </c>
      <c r="F99" t="s">
        <v>123</v>
      </c>
      <c r="G99" s="4" t="str">
        <f>'[2]LAB CIVIL'!B11</f>
        <v>4-011338</v>
      </c>
      <c r="H99" t="str">
        <f>'[2]LAB CIVIL'!C11</f>
        <v>MAQUINA CRB MOTORIZADA, 50KN MARCA MATEST MODELO S211 KIT PROCEDENCIA DE ITALIA SERIE S211-10/BC/0030</v>
      </c>
      <c r="I99" s="5" t="str">
        <f>'[2]LAB CIVIL'!D11</f>
        <v>Regular</v>
      </c>
    </row>
    <row r="100" spans="1:9" x14ac:dyDescent="0.25">
      <c r="A100" s="4">
        <f t="shared" si="1"/>
        <v>99</v>
      </c>
      <c r="B100" s="4" t="s">
        <v>12</v>
      </c>
      <c r="C100" t="str">
        <f>'[2]LAB CIVIL'!$C$4</f>
        <v>DIEGO LEONARDO SIMONS LINARES</v>
      </c>
      <c r="E100" t="s">
        <v>13</v>
      </c>
      <c r="F100" t="s">
        <v>123</v>
      </c>
      <c r="G100" s="4" t="str">
        <f>'[2]LAB CIVIL'!B12</f>
        <v>4-05609</v>
      </c>
      <c r="H100" t="str">
        <f>'[2]LAB CIVIL'!C12</f>
        <v>MOLDE DE PROCTOR ESTANDAR</v>
      </c>
      <c r="I100" s="5" t="str">
        <f>'[2]LAB CIVIL'!D12</f>
        <v>Regular</v>
      </c>
    </row>
    <row r="101" spans="1:9" x14ac:dyDescent="0.25">
      <c r="A101" s="4">
        <f t="shared" si="1"/>
        <v>100</v>
      </c>
      <c r="B101" s="4" t="s">
        <v>12</v>
      </c>
      <c r="C101" t="str">
        <f>'[2]LAB CIVIL'!$C$4</f>
        <v>DIEGO LEONARDO SIMONS LINARES</v>
      </c>
      <c r="E101" t="s">
        <v>13</v>
      </c>
      <c r="F101" t="s">
        <v>123</v>
      </c>
      <c r="G101" s="4" t="str">
        <f>'[2]LAB CIVIL'!B13</f>
        <v>4-011304</v>
      </c>
      <c r="H101" t="str">
        <f>'[2]LAB CIVIL'!C13</f>
        <v>EQUIPO PARA LIMITE DE CONTRACCION MARCA MATEST MODELO S175 PROCEDENCIA ITALIA SERIE S175-0/BB/00008</v>
      </c>
      <c r="I101" s="5" t="str">
        <f>'[2]LAB CIVIL'!D13</f>
        <v>Regular</v>
      </c>
    </row>
    <row r="102" spans="1:9" x14ac:dyDescent="0.25">
      <c r="A102" s="4">
        <f t="shared" si="1"/>
        <v>101</v>
      </c>
      <c r="B102" s="4" t="s">
        <v>12</v>
      </c>
      <c r="C102" t="str">
        <f>'[2]LAB CIVIL'!$C$4</f>
        <v>DIEGO LEONARDO SIMONS LINARES</v>
      </c>
      <c r="E102" t="s">
        <v>13</v>
      </c>
      <c r="F102" t="s">
        <v>123</v>
      </c>
      <c r="G102" s="4" t="str">
        <f>'[2]LAB CIVIL'!B14</f>
        <v>4-011303</v>
      </c>
      <c r="H102" t="str">
        <f>'[2]LAB CIVIL'!C14</f>
        <v>EQUIPO PARA LIMITE DE CONTRACCION MARCA MATEST MODELO S175 PROCEDENCIA ITALIA SERIE S175-0/BB/00006</v>
      </c>
      <c r="I102" s="5" t="str">
        <f>'[2]LAB CIVIL'!D14</f>
        <v>Regular</v>
      </c>
    </row>
    <row r="103" spans="1:9" x14ac:dyDescent="0.25">
      <c r="A103" s="4">
        <f t="shared" si="1"/>
        <v>102</v>
      </c>
      <c r="B103" s="4" t="s">
        <v>12</v>
      </c>
      <c r="C103" t="str">
        <f>'[2]LAB CIVIL'!$C$4</f>
        <v>DIEGO LEONARDO SIMONS LINARES</v>
      </c>
      <c r="E103" t="s">
        <v>13</v>
      </c>
      <c r="F103" t="s">
        <v>123</v>
      </c>
      <c r="G103" s="4" t="str">
        <f>'[2]LAB CIVIL'!B15</f>
        <v>4-011302</v>
      </c>
      <c r="H103" t="str">
        <f>'[2]LAB CIVIL'!C15</f>
        <v>EQUIPO PARA LIMITE DE CONTRACCION MARCA MATEST MODELO S175 PROCEDENCIA ITALIA SERIE S175-0/BB/00004</v>
      </c>
      <c r="I103" s="5" t="str">
        <f>'[2]LAB CIVIL'!D15</f>
        <v>Regular</v>
      </c>
    </row>
    <row r="104" spans="1:9" x14ac:dyDescent="0.25">
      <c r="A104" s="4">
        <f t="shared" si="1"/>
        <v>103</v>
      </c>
      <c r="B104" s="4" t="s">
        <v>12</v>
      </c>
      <c r="C104" t="str">
        <f>'[2]LAB CIVIL'!$C$4</f>
        <v>DIEGO LEONARDO SIMONS LINARES</v>
      </c>
      <c r="E104" t="s">
        <v>13</v>
      </c>
      <c r="F104" t="s">
        <v>123</v>
      </c>
      <c r="G104" s="4" t="str">
        <f>'[2]LAB CIVIL'!B16</f>
        <v>4-011301</v>
      </c>
      <c r="H104" t="str">
        <f>'[2]LAB CIVIL'!C16</f>
        <v>EQUIPO PARA LIMITE DE CONTRACCION MARCA MATEST MODELO S175 PROCEDENCIA ITALIA SERIE S175-0/BB/00003</v>
      </c>
      <c r="I104" s="5" t="str">
        <f>'[2]LAB CIVIL'!D16</f>
        <v>Regular</v>
      </c>
    </row>
    <row r="105" spans="1:9" x14ac:dyDescent="0.25">
      <c r="A105" s="4">
        <f t="shared" si="1"/>
        <v>104</v>
      </c>
      <c r="B105" s="4" t="s">
        <v>12</v>
      </c>
      <c r="C105" t="str">
        <f>'[2]LAB CIVIL'!$C$4</f>
        <v>DIEGO LEONARDO SIMONS LINARES</v>
      </c>
      <c r="E105" t="s">
        <v>13</v>
      </c>
      <c r="F105" t="s">
        <v>123</v>
      </c>
      <c r="G105" s="4" t="str">
        <f>'[2]LAB CIVIL'!B17</f>
        <v>4-011300</v>
      </c>
      <c r="H105" t="str">
        <f>'[2]LAB CIVIL'!C17</f>
        <v>EQUIPO PARA LIMITE DE CONTRACCION MARCA MATEST MODELO S175 PROCEDENCIA ITALIA SERIE S175-0/BB/00002</v>
      </c>
      <c r="I105" s="5" t="str">
        <f>'[2]LAB CIVIL'!D17</f>
        <v>Regular</v>
      </c>
    </row>
    <row r="106" spans="1:9" x14ac:dyDescent="0.25">
      <c r="A106" s="4">
        <f t="shared" si="1"/>
        <v>105</v>
      </c>
      <c r="B106" s="4" t="s">
        <v>12</v>
      </c>
      <c r="C106" t="str">
        <f>'[2]LAB CIVIL'!$C$4</f>
        <v>DIEGO LEONARDO SIMONS LINARES</v>
      </c>
      <c r="E106" t="s">
        <v>13</v>
      </c>
      <c r="F106" t="s">
        <v>123</v>
      </c>
      <c r="G106" s="4" t="str">
        <f>'[2]LAB CIVIL'!B18</f>
        <v>4-011309</v>
      </c>
      <c r="H106" t="str">
        <f>'[2]LAB CIVIL'!C18</f>
        <v>EQUIPO PARA LIMITE DE PLASTICO MARCA MATEST MODELO S178 PROCEDENCIA ITALIA SERIE S178-0/BB/00008</v>
      </c>
      <c r="I106" s="5" t="str">
        <f>'[2]LAB CIVIL'!D18</f>
        <v>Regular</v>
      </c>
    </row>
    <row r="107" spans="1:9" x14ac:dyDescent="0.25">
      <c r="A107" s="4">
        <f t="shared" si="1"/>
        <v>106</v>
      </c>
      <c r="B107" s="4" t="s">
        <v>12</v>
      </c>
      <c r="C107" t="str">
        <f>'[2]LAB CIVIL'!$C$4</f>
        <v>DIEGO LEONARDO SIMONS LINARES</v>
      </c>
      <c r="E107" t="s">
        <v>13</v>
      </c>
      <c r="F107" t="s">
        <v>123</v>
      </c>
      <c r="G107" s="4" t="str">
        <f>'[2]LAB CIVIL'!B19</f>
        <v>4-011308</v>
      </c>
      <c r="H107" t="str">
        <f>'[2]LAB CIVIL'!C19</f>
        <v>EQUIPO PARA LIMITE DE PLASTICO MARCA MATEST MODELO S178 PROCEDENCIA ITALIA SERIE S178-0/BB/00006</v>
      </c>
      <c r="I107" s="5" t="str">
        <f>'[2]LAB CIVIL'!D19</f>
        <v>Regular</v>
      </c>
    </row>
    <row r="108" spans="1:9" x14ac:dyDescent="0.25">
      <c r="A108" s="4">
        <f t="shared" si="1"/>
        <v>107</v>
      </c>
      <c r="B108" s="4" t="s">
        <v>12</v>
      </c>
      <c r="C108" t="str">
        <f>'[2]LAB CIVIL'!$C$4</f>
        <v>DIEGO LEONARDO SIMONS LINARES</v>
      </c>
      <c r="E108" t="s">
        <v>13</v>
      </c>
      <c r="F108" t="s">
        <v>123</v>
      </c>
      <c r="G108" s="4" t="str">
        <f>'[2]LAB CIVIL'!B20</f>
        <v>4-011307</v>
      </c>
      <c r="H108" t="str">
        <f>'[2]LAB CIVIL'!C20</f>
        <v>EQUIPO PARA LIMITE DE PLASTICO MARCA MATEST MODELO S178 PROCEDENCIA ITALIA SERIE S178-0/BB/00004</v>
      </c>
      <c r="I108" s="5" t="str">
        <f>'[2]LAB CIVIL'!D20</f>
        <v>Regular</v>
      </c>
    </row>
    <row r="109" spans="1:9" x14ac:dyDescent="0.25">
      <c r="A109" s="4">
        <f t="shared" si="1"/>
        <v>108</v>
      </c>
      <c r="B109" s="4" t="s">
        <v>12</v>
      </c>
      <c r="C109" t="str">
        <f>'[2]LAB CIVIL'!$C$4</f>
        <v>DIEGO LEONARDO SIMONS LINARES</v>
      </c>
      <c r="E109" t="s">
        <v>13</v>
      </c>
      <c r="F109" t="s">
        <v>123</v>
      </c>
      <c r="G109" s="4" t="str">
        <f>'[2]LAB CIVIL'!B21</f>
        <v>4-011306</v>
      </c>
      <c r="H109" t="str">
        <f>'[2]LAB CIVIL'!C21</f>
        <v>EQUIPO PARA LIMITE DE PLASTICO MARCA MATEST MODELO S178 PROCEDENCIA ITALIA SERIE S178-0/BB/00003</v>
      </c>
      <c r="I109" s="5" t="str">
        <f>'[2]LAB CIVIL'!D21</f>
        <v>Regular</v>
      </c>
    </row>
    <row r="110" spans="1:9" x14ac:dyDescent="0.25">
      <c r="A110" s="4">
        <f t="shared" si="1"/>
        <v>109</v>
      </c>
      <c r="B110" s="4" t="s">
        <v>12</v>
      </c>
      <c r="C110" t="str">
        <f>'[2]LAB CIVIL'!$C$4</f>
        <v>DIEGO LEONARDO SIMONS LINARES</v>
      </c>
      <c r="E110" t="s">
        <v>13</v>
      </c>
      <c r="F110" t="s">
        <v>123</v>
      </c>
      <c r="G110" s="4" t="str">
        <f>'[2]LAB CIVIL'!B22</f>
        <v>4-011305</v>
      </c>
      <c r="H110" t="str">
        <f>'[2]LAB CIVIL'!C22</f>
        <v>EQUIPO PARA LIMITE DE PLASTICO MARCA MATEST MODELO S178 PROCEDENCIA ITALIA SERIE S178-0/BB/00002</v>
      </c>
      <c r="I110" s="5" t="str">
        <f>'[2]LAB CIVIL'!D22</f>
        <v>Regular</v>
      </c>
    </row>
    <row r="111" spans="1:9" x14ac:dyDescent="0.25">
      <c r="A111" s="4">
        <f t="shared" si="1"/>
        <v>110</v>
      </c>
      <c r="B111" s="4" t="s">
        <v>12</v>
      </c>
      <c r="C111" t="str">
        <f>'[2]LAB CIVIL'!$C$4</f>
        <v>DIEGO LEONARDO SIMONS LINARES</v>
      </c>
      <c r="E111" t="s">
        <v>13</v>
      </c>
      <c r="F111" t="s">
        <v>123</v>
      </c>
      <c r="G111" s="4" t="str">
        <f>'[2]LAB CIVIL'!B23</f>
        <v>4-011299</v>
      </c>
      <c r="H111" t="str">
        <f>'[2]LAB CIVIL'!C23</f>
        <v>EQUIPO PARA LIMITE LIQUIDO CASA GRANDE MARCA MATEST MODELO S172 PROCEDENCIA ITALIA SERIE S172N/BC/0019</v>
      </c>
      <c r="I111" s="5" t="str">
        <f>'[2]LAB CIVIL'!D23</f>
        <v>Regular</v>
      </c>
    </row>
    <row r="112" spans="1:9" x14ac:dyDescent="0.25">
      <c r="A112" s="4">
        <f t="shared" si="1"/>
        <v>111</v>
      </c>
      <c r="B112" s="4" t="s">
        <v>12</v>
      </c>
      <c r="C112" t="str">
        <f>'[2]LAB CIVIL'!$C$4</f>
        <v>DIEGO LEONARDO SIMONS LINARES</v>
      </c>
      <c r="E112" t="s">
        <v>13</v>
      </c>
      <c r="F112" t="s">
        <v>123</v>
      </c>
      <c r="G112" s="4" t="str">
        <f>'[2]LAB CIVIL'!B24</f>
        <v>4-011298</v>
      </c>
      <c r="H112" t="str">
        <f>'[2]LAB CIVIL'!C24</f>
        <v>EQUIPO PARA LIMITE LIQUIDO CASA GRANDE MARCA MATEST MODELO S172 PROCEDENCIA ITALIA SERIE S172N/BC/0018</v>
      </c>
      <c r="I112" s="5" t="str">
        <f>'[2]LAB CIVIL'!D24</f>
        <v>Regular</v>
      </c>
    </row>
    <row r="113" spans="1:9" x14ac:dyDescent="0.25">
      <c r="A113" s="4">
        <f t="shared" si="1"/>
        <v>112</v>
      </c>
      <c r="B113" s="4" t="s">
        <v>12</v>
      </c>
      <c r="C113" t="str">
        <f>'[2]LAB CIVIL'!$C$4</f>
        <v>DIEGO LEONARDO SIMONS LINARES</v>
      </c>
      <c r="E113" t="s">
        <v>13</v>
      </c>
      <c r="F113" t="s">
        <v>123</v>
      </c>
      <c r="G113" s="4" t="str">
        <f>'[2]LAB CIVIL'!B25</f>
        <v>4-011297</v>
      </c>
      <c r="H113" t="str">
        <f>'[2]LAB CIVIL'!C25</f>
        <v>EQUIPO PARA LIMITE LIQUIDO CASA GRANDE MARCA MATEST MODELO S172 PROCEDENCIA ITALIA SERIE S172N/BC/0017</v>
      </c>
      <c r="I113" s="5" t="str">
        <f>'[2]LAB CIVIL'!D25</f>
        <v>Regular</v>
      </c>
    </row>
    <row r="114" spans="1:9" x14ac:dyDescent="0.25">
      <c r="A114" s="4">
        <f t="shared" si="1"/>
        <v>113</v>
      </c>
      <c r="B114" s="4" t="s">
        <v>12</v>
      </c>
      <c r="C114" t="str">
        <f>'[2]LAB CIVIL'!$C$4</f>
        <v>DIEGO LEONARDO SIMONS LINARES</v>
      </c>
      <c r="E114" t="s">
        <v>13</v>
      </c>
      <c r="F114" t="s">
        <v>123</v>
      </c>
      <c r="G114" s="4" t="str">
        <f>'[2]LAB CIVIL'!B26</f>
        <v>4-011296</v>
      </c>
      <c r="H114" t="str">
        <f>'[2]LAB CIVIL'!C26</f>
        <v>EQUIPO PARA LIMITE LIQUIDO CASA GRANDE MARCA MATEST MODELO S172 PROCEDENCIA ITALIA SERIE S172N/BC/0016</v>
      </c>
      <c r="I114" s="5" t="str">
        <f>'[2]LAB CIVIL'!D26</f>
        <v>Regular</v>
      </c>
    </row>
    <row r="115" spans="1:9" x14ac:dyDescent="0.25">
      <c r="A115" s="4">
        <f t="shared" si="1"/>
        <v>114</v>
      </c>
      <c r="B115" s="4" t="s">
        <v>12</v>
      </c>
      <c r="C115" t="str">
        <f>'[2]LAB CIVIL'!$C$4</f>
        <v>DIEGO LEONARDO SIMONS LINARES</v>
      </c>
      <c r="E115" t="s">
        <v>13</v>
      </c>
      <c r="F115" t="s">
        <v>123</v>
      </c>
      <c r="G115" s="4" t="str">
        <f>'[2]LAB CIVIL'!B27</f>
        <v>4-011295</v>
      </c>
      <c r="H115" t="str">
        <f>'[2]LAB CIVIL'!C27</f>
        <v>EQUIPO PARA LIMITE LIQUIDO CASA GRANDE MARCA MATEST MODELO S172 PROCEDENCIA ITALIA SERIE S172N/BC/0013</v>
      </c>
      <c r="I115" s="5" t="str">
        <f>'[2]LAB CIVIL'!D27</f>
        <v>Regular</v>
      </c>
    </row>
    <row r="116" spans="1:9" x14ac:dyDescent="0.25">
      <c r="A116" s="4">
        <f t="shared" si="1"/>
        <v>115</v>
      </c>
      <c r="B116" s="4" t="s">
        <v>12</v>
      </c>
      <c r="C116" t="str">
        <f>'[2]LAB CIVIL'!$C$4</f>
        <v>DIEGO LEONARDO SIMONS LINARES</v>
      </c>
      <c r="E116" t="s">
        <v>13</v>
      </c>
      <c r="F116" t="s">
        <v>123</v>
      </c>
      <c r="G116" s="4" t="str">
        <f>'[2]LAB CIVIL'!B28</f>
        <v>4-05616</v>
      </c>
      <c r="H116" t="str">
        <f>'[2]LAB CIVIL'!C28</f>
        <v>NIVEL OPTICO MODELO B-40.- CON DOS MIRAS DE MADERA Y UN TRIPODE DE ALUMINIO</v>
      </c>
      <c r="I116" s="5" t="str">
        <f>'[2]LAB CIVIL'!D28</f>
        <v>Regular</v>
      </c>
    </row>
    <row r="117" spans="1:9" x14ac:dyDescent="0.25">
      <c r="A117" s="4">
        <f t="shared" si="1"/>
        <v>116</v>
      </c>
      <c r="B117" s="4" t="s">
        <v>12</v>
      </c>
      <c r="C117" t="str">
        <f>'[2]LAB CIVIL'!$C$4</f>
        <v>DIEGO LEONARDO SIMONS LINARES</v>
      </c>
      <c r="E117" t="s">
        <v>13</v>
      </c>
      <c r="F117" t="s">
        <v>123</v>
      </c>
      <c r="G117" s="4" t="str">
        <f>'[2]LAB CIVIL'!B29</f>
        <v>4-08791</v>
      </c>
      <c r="H117" t="str">
        <f>'[2]LAB CIVIL'!C29</f>
        <v>MESA DE SACUDIDAS MARCA MATEST, MOD. E087-KIT, POTENCIA 150W, CONEXION 220V/50HZ, MOLDE DE FLUIDEZ 
SEGUN NORMA ASTM, C230 EQUIPO MOTORIZADO</v>
      </c>
      <c r="I117" s="5" t="str">
        <f>'[2]LAB CIVIL'!D29</f>
        <v>Regular</v>
      </c>
    </row>
    <row r="118" spans="1:9" x14ac:dyDescent="0.25">
      <c r="A118" s="4">
        <f t="shared" si="1"/>
        <v>117</v>
      </c>
      <c r="B118" s="4" t="s">
        <v>12</v>
      </c>
      <c r="C118" t="str">
        <f>'[2]LAB CIVIL'!$C$4</f>
        <v>DIEGO LEONARDO SIMONS LINARES</v>
      </c>
      <c r="E118" t="s">
        <v>13</v>
      </c>
      <c r="F118" t="s">
        <v>123</v>
      </c>
      <c r="G118" s="4">
        <f>'[2]LAB CIVIL'!B30</f>
        <v>8456</v>
      </c>
      <c r="H118" t="str">
        <f>'[2]LAB CIVIL'!C30</f>
        <v>DISCO ESPACIADOR</v>
      </c>
      <c r="I118" s="5" t="str">
        <f>'[2]LAB CIVIL'!D30</f>
        <v>Regular</v>
      </c>
    </row>
    <row r="119" spans="1:9" x14ac:dyDescent="0.25">
      <c r="A119" s="4">
        <f t="shared" si="1"/>
        <v>118</v>
      </c>
      <c r="B119" s="4" t="s">
        <v>12</v>
      </c>
      <c r="C119" t="str">
        <f>'[2]LAB CIVIL'!$C$4</f>
        <v>DIEGO LEONARDO SIMONS LINARES</v>
      </c>
      <c r="E119" t="s">
        <v>13</v>
      </c>
      <c r="F119" t="s">
        <v>123</v>
      </c>
      <c r="G119" s="4" t="str">
        <f>'[2]LAB CIVIL'!B31</f>
        <v>4-07058</v>
      </c>
      <c r="H119" t="str">
        <f>'[2]LAB CIVIL'!C31</f>
        <v>DISCO ESPACIADOR PARA CBR CROMADOS</v>
      </c>
      <c r="I119" s="5" t="str">
        <f>'[2]LAB CIVIL'!D31</f>
        <v>Regular</v>
      </c>
    </row>
    <row r="120" spans="1:9" x14ac:dyDescent="0.25">
      <c r="A120" s="4">
        <f t="shared" si="1"/>
        <v>119</v>
      </c>
      <c r="B120" s="4" t="s">
        <v>12</v>
      </c>
      <c r="C120" t="str">
        <f>'[2]LAB CIVIL'!$C$4</f>
        <v>DIEGO LEONARDO SIMONS LINARES</v>
      </c>
      <c r="E120" t="s">
        <v>13</v>
      </c>
      <c r="F120" t="s">
        <v>123</v>
      </c>
      <c r="G120" s="4" t="str">
        <f>'[2]LAB CIVIL'!B32</f>
        <v>4-11516</v>
      </c>
      <c r="H120" t="str">
        <f>'[2]LAB CIVIL'!C32</f>
        <v>FLEXION ASIMETRICA MARCA GUNT MODELO FL160 NUMERO DE SERIE 236895 PROCEDENCIA ALEMANIA</v>
      </c>
      <c r="I120" s="5" t="str">
        <f>'[2]LAB CIVIL'!D32</f>
        <v>Regular</v>
      </c>
    </row>
    <row r="121" spans="1:9" x14ac:dyDescent="0.25">
      <c r="A121" s="4">
        <f t="shared" si="1"/>
        <v>120</v>
      </c>
      <c r="B121" s="4" t="s">
        <v>12</v>
      </c>
      <c r="C121" t="str">
        <f>'[2]LAB CIVIL'!$C$4</f>
        <v>DIEGO LEONARDO SIMONS LINARES</v>
      </c>
      <c r="E121" t="s">
        <v>13</v>
      </c>
      <c r="F121" t="s">
        <v>123</v>
      </c>
      <c r="G121" s="4" t="str">
        <f>'[2]LAB CIVIL'!B33</f>
        <v>4-07100</v>
      </c>
      <c r="H121" t="str">
        <f>'[2]LAB CIVIL'!C33</f>
        <v>ANALISIS DEL TAMA­O DE LAS PARTICULAS DE LOS SUELOS METODO DE HIDROMETRO MARCA MATEST CODIGO DE REFERENCIA S155-KIT PROCEDENCIA ITALIA DE 12 PIEZAS</v>
      </c>
      <c r="I121" s="5" t="str">
        <f>'[2]LAB CIVIL'!D33</f>
        <v>Regular</v>
      </c>
    </row>
    <row r="122" spans="1:9" x14ac:dyDescent="0.25">
      <c r="A122" s="4">
        <f t="shared" si="1"/>
        <v>121</v>
      </c>
      <c r="B122" s="4" t="s">
        <v>12</v>
      </c>
      <c r="C122" t="str">
        <f>'[2]LAB CIVIL'!$C$4</f>
        <v>DIEGO LEONARDO SIMONS LINARES</v>
      </c>
      <c r="E122" t="s">
        <v>13</v>
      </c>
      <c r="F122" t="s">
        <v>123</v>
      </c>
      <c r="G122" s="4" t="str">
        <f>'[2]LAB CIVIL'!B34</f>
        <v>4-011313</v>
      </c>
      <c r="H122" t="str">
        <f>'[2]LAB CIVIL'!C34</f>
        <v>EQUIPO PARA ANALISIS DEL TAMANO DE LAS PARTICULAS DE LOS SUELOS MARCA MATEST MODELO S155KIT PROCEDENCIA ITALIA SERIE S156-10N/BB/0064</v>
      </c>
      <c r="I122" s="5" t="str">
        <f>'[2]LAB CIVIL'!D34</f>
        <v>Regular</v>
      </c>
    </row>
    <row r="123" spans="1:9" x14ac:dyDescent="0.25">
      <c r="A123" s="4">
        <f t="shared" si="1"/>
        <v>122</v>
      </c>
      <c r="B123" s="4" t="s">
        <v>12</v>
      </c>
      <c r="C123" t="str">
        <f>'[2]LAB CIVIL'!$C$4</f>
        <v>DIEGO LEONARDO SIMONS LINARES</v>
      </c>
      <c r="E123" t="s">
        <v>13</v>
      </c>
      <c r="F123" t="s">
        <v>123</v>
      </c>
      <c r="G123" s="4" t="str">
        <f>'[2]LAB CIVIL'!B35</f>
        <v>4-011312</v>
      </c>
      <c r="H123" t="str">
        <f>'[2]LAB CIVIL'!C35</f>
        <v>EQUIPO PARA ANALISIS DEL TAMANO DE LAS PARTICULAS DE LOS SUELOS MARCA MATEST MODELO S155KIT PROCEDENCIA ITALIA SERIE S156-10N/BB/0063</v>
      </c>
      <c r="I123" s="5" t="str">
        <f>'[2]LAB CIVIL'!D35</f>
        <v>Regular</v>
      </c>
    </row>
    <row r="124" spans="1:9" x14ac:dyDescent="0.25">
      <c r="A124" s="4">
        <f t="shared" si="1"/>
        <v>123</v>
      </c>
      <c r="B124" s="4" t="s">
        <v>12</v>
      </c>
      <c r="C124" t="str">
        <f>'[2]LAB CIVIL'!$C$4</f>
        <v>DIEGO LEONARDO SIMONS LINARES</v>
      </c>
      <c r="E124" t="s">
        <v>13</v>
      </c>
      <c r="F124" t="s">
        <v>123</v>
      </c>
      <c r="G124" s="4">
        <f>'[2]LAB CIVIL'!B36</f>
        <v>8474</v>
      </c>
      <c r="H124" t="str">
        <f>'[2]LAB CIVIL'!C36</f>
        <v>EQUIPO DE CHATELIER</v>
      </c>
      <c r="I124" s="5" t="str">
        <f>'[2]LAB CIVIL'!D36</f>
        <v>Regular</v>
      </c>
    </row>
    <row r="125" spans="1:9" x14ac:dyDescent="0.25">
      <c r="A125" s="4">
        <f t="shared" si="1"/>
        <v>124</v>
      </c>
      <c r="B125" s="4" t="s">
        <v>12</v>
      </c>
      <c r="C125" t="str">
        <f>'[2]LAB CIVIL'!$C$4</f>
        <v>DIEGO LEONARDO SIMONS LINARES</v>
      </c>
      <c r="E125" t="s">
        <v>13</v>
      </c>
      <c r="F125" t="s">
        <v>123</v>
      </c>
      <c r="G125" s="4">
        <f>'[2]LAB CIVIL'!B37</f>
        <v>5508</v>
      </c>
      <c r="H125" t="str">
        <f>'[2]LAB CIVIL'!C37</f>
        <v>CONJUNTO PARA DETERMINAR EL LIMITE PL-STICO DE LOS SUELOS VIDRIO TRIPLE4X4CON BARILLA METALICA , C-PSULA Y TAPA DE ALUMINIO.</v>
      </c>
      <c r="I125" s="5" t="str">
        <f>'[2]LAB CIVIL'!D37</f>
        <v>Regular</v>
      </c>
    </row>
    <row r="126" spans="1:9" x14ac:dyDescent="0.25">
      <c r="A126" s="4">
        <f t="shared" si="1"/>
        <v>125</v>
      </c>
      <c r="B126" s="4" t="s">
        <v>12</v>
      </c>
      <c r="C126" t="str">
        <f>'[2]LAB CIVIL'!$C$4</f>
        <v>DIEGO LEONARDO SIMONS LINARES</v>
      </c>
      <c r="E126" t="s">
        <v>13</v>
      </c>
      <c r="F126" t="s">
        <v>123</v>
      </c>
      <c r="G126" s="4" t="str">
        <f>'[2]LAB CIVIL'!B38</f>
        <v>4-07108</v>
      </c>
      <c r="H126" t="str">
        <f>'[2]LAB CIVIL'!C38</f>
        <v>CONJUNTO COMPLETO DE ENSAYO CONO ABRAMS, MARCA MATEST, CODIGO DE REFERENCIA C180-KIT, PROCEDENCIA ITALIA, CANTIDAD PIEZAS 8, COLOR PLATA</v>
      </c>
      <c r="I126" s="5" t="str">
        <f>'[2]LAB CIVIL'!D38</f>
        <v>Regular</v>
      </c>
    </row>
    <row r="127" spans="1:9" x14ac:dyDescent="0.25">
      <c r="A127" s="4">
        <f t="shared" si="1"/>
        <v>126</v>
      </c>
      <c r="B127" s="4" t="s">
        <v>12</v>
      </c>
      <c r="C127" t="str">
        <f>'[2]LAB CIVIL'!$C$4</f>
        <v>DIEGO LEONARDO SIMONS LINARES</v>
      </c>
      <c r="E127" t="s">
        <v>13</v>
      </c>
      <c r="F127" t="s">
        <v>123</v>
      </c>
      <c r="G127" s="4" t="str">
        <f>'[2]LAB CIVIL'!B39</f>
        <v>4-05587</v>
      </c>
      <c r="H127" t="str">
        <f>'[2]LAB CIVIL'!C39</f>
        <v>EQUIPO PARA ENSAYO DE EQUIVALENTES DE ARENA ( 4 PROVETA CON REGLETA METALICA, MALETIN NEGRO)</v>
      </c>
      <c r="I127" s="5" t="str">
        <f>'[2]LAB CIVIL'!D39</f>
        <v>Regular</v>
      </c>
    </row>
    <row r="128" spans="1:9" x14ac:dyDescent="0.25">
      <c r="A128" s="4">
        <f t="shared" si="1"/>
        <v>127</v>
      </c>
      <c r="B128" s="4" t="s">
        <v>12</v>
      </c>
      <c r="C128" t="str">
        <f>'[2]LAB CIVIL'!$C$4</f>
        <v>DIEGO LEONARDO SIMONS LINARES</v>
      </c>
      <c r="E128" t="s">
        <v>13</v>
      </c>
      <c r="F128" t="s">
        <v>123</v>
      </c>
      <c r="G128" s="4" t="str">
        <f>'[2]LAB CIVIL'!B40</f>
        <v>4-09814</v>
      </c>
      <c r="H128" t="str">
        <f>'[2]LAB CIVIL'!C40</f>
        <v>EQUIPO DE PUNTO DE ABLANDAMIENTO MARCA TECNICAS CP. 2 CON 1V ASO DE PRESIPITADOS RESISTENTE A TEMPERATURAS ESFERAS ANILLOS DE METAL SOPORTE</v>
      </c>
      <c r="I128" s="5" t="str">
        <f>'[2]LAB CIVIL'!D40</f>
        <v>Regular</v>
      </c>
    </row>
    <row r="129" spans="1:9" x14ac:dyDescent="0.25">
      <c r="A129" s="4">
        <f t="shared" si="1"/>
        <v>128</v>
      </c>
      <c r="B129" s="4" t="s">
        <v>12</v>
      </c>
      <c r="C129" t="str">
        <f>'[2]LAB CIVIL'!$C$4</f>
        <v>DIEGO LEONARDO SIMONS LINARES</v>
      </c>
      <c r="E129" t="s">
        <v>13</v>
      </c>
      <c r="F129" t="s">
        <v>123</v>
      </c>
      <c r="G129" s="4" t="str">
        <f>'[2]LAB CIVIL'!B41</f>
        <v>4-07079</v>
      </c>
      <c r="H129" t="str">
        <f>'[2]LAB CIVIL'!C41</f>
        <v>KIT PARA ENSAYO DE DENSIDAD REAL, NETA Y ABSORCION DE ARIDO FINO; MARCA MATEST; PROCEDENCIA ITALIA</v>
      </c>
      <c r="I129" s="5" t="str">
        <f>'[2]LAB CIVIL'!D41</f>
        <v>Regular</v>
      </c>
    </row>
    <row r="130" spans="1:9" x14ac:dyDescent="0.25">
      <c r="A130" s="4">
        <f t="shared" si="1"/>
        <v>129</v>
      </c>
      <c r="B130" s="4" t="s">
        <v>12</v>
      </c>
      <c r="C130" t="str">
        <f>'[2]LAB CIVIL'!$C$4</f>
        <v>DIEGO LEONARDO SIMONS LINARES</v>
      </c>
      <c r="E130" t="s">
        <v>13</v>
      </c>
      <c r="F130" t="s">
        <v>123</v>
      </c>
      <c r="G130" s="4" t="str">
        <f>'[2]LAB CIVIL'!B42</f>
        <v>4-05581</v>
      </c>
      <c r="H130" t="str">
        <f>'[2]LAB CIVIL'!C42</f>
        <v>KIT PARA ENSAYO DE DENSIDAD REAL, NETA Y ABSORCION DE ARIDO FINO; MARCA MATEST; PROCEDENCIA ITALIA</v>
      </c>
      <c r="I130" s="5" t="str">
        <f>'[2]LAB CIVIL'!D42</f>
        <v>Regular</v>
      </c>
    </row>
    <row r="131" spans="1:9" x14ac:dyDescent="0.25">
      <c r="A131" s="4">
        <f t="shared" si="1"/>
        <v>130</v>
      </c>
      <c r="B131" s="4" t="s">
        <v>12</v>
      </c>
      <c r="C131" t="str">
        <f>'[2]LAB CIVIL'!$C$4</f>
        <v>DIEGO LEONARDO SIMONS LINARES</v>
      </c>
      <c r="E131" t="s">
        <v>13</v>
      </c>
      <c r="F131" t="s">
        <v>123</v>
      </c>
      <c r="G131" s="4" t="str">
        <f>'[2]LAB CIVIL'!B43</f>
        <v>4-09816</v>
      </c>
      <c r="H131" t="str">
        <f>'[2]LAB CIVIL'!C43</f>
        <v>KIT PARA PRUEBA DE CONTRACCION CON MORTERO DE PORCELANA, PROBETA GRADUADA, PLACA DE CONTRACCION, ESPATULA, REGLA ENRASADORA S/RET220110-220112-22011</v>
      </c>
      <c r="I131" s="5" t="str">
        <f>'[2]LAB CIVIL'!D43</f>
        <v>Regular</v>
      </c>
    </row>
    <row r="132" spans="1:9" x14ac:dyDescent="0.25">
      <c r="A132" s="4">
        <f t="shared" ref="A132:A195" si="2">A131+1</f>
        <v>131</v>
      </c>
      <c r="B132" s="4" t="s">
        <v>12</v>
      </c>
      <c r="C132" t="str">
        <f>'[2]LAB CIVIL'!$C$4</f>
        <v>DIEGO LEONARDO SIMONS LINARES</v>
      </c>
      <c r="E132" t="s">
        <v>13</v>
      </c>
      <c r="F132" t="s">
        <v>123</v>
      </c>
      <c r="G132" s="4" t="str">
        <f>'[2]LAB CIVIL'!B44</f>
        <v>4-09815</v>
      </c>
      <c r="H132" t="str">
        <f>'[2]LAB CIVIL'!C44</f>
        <v>KIT DE PRUEBA PARA LIMITE CON 1 PLACA DE VIDRIO, VARILLA DE ACERO, LATAS DE CONTENIDO DE HUMEDAD, PLATO PARA MEZCLAR, ESPATULA 2 TAMIZ</v>
      </c>
      <c r="I132" s="5" t="str">
        <f>'[2]LAB CIVIL'!D44</f>
        <v>Regular</v>
      </c>
    </row>
    <row r="133" spans="1:9" x14ac:dyDescent="0.25">
      <c r="A133" s="4">
        <f t="shared" si="2"/>
        <v>132</v>
      </c>
      <c r="B133" s="4" t="s">
        <v>12</v>
      </c>
      <c r="C133" t="str">
        <f>'[2]LAB CIVIL'!$C$4</f>
        <v>DIEGO LEONARDO SIMONS LINARES</v>
      </c>
      <c r="E133" t="s">
        <v>13</v>
      </c>
      <c r="F133" t="s">
        <v>123</v>
      </c>
      <c r="G133" s="4">
        <f>'[2]LAB CIVIL'!B45</f>
        <v>8758</v>
      </c>
      <c r="H133" t="str">
        <f>'[2]LAB CIVIL'!C45</f>
        <v>KIT DE HERRAMIENTAS DE PENETRACION, INCLUYELLAVES STILSON DE 14',2 Y 18', 24', 2 BARRERO CILINDRICO DE 4',1 Y 2 1/4, 1 PALA POSTEADORA</v>
      </c>
      <c r="I133" s="5" t="str">
        <f>'[2]LAB CIVIL'!D45</f>
        <v>Regular</v>
      </c>
    </row>
    <row r="134" spans="1:9" x14ac:dyDescent="0.25">
      <c r="A134" s="4">
        <f t="shared" si="2"/>
        <v>133</v>
      </c>
      <c r="B134" s="4" t="s">
        <v>12</v>
      </c>
      <c r="C134" t="str">
        <f>'[2]LAB CIVIL'!$C$4</f>
        <v>DIEGO LEONARDO SIMONS LINARES</v>
      </c>
      <c r="E134" t="s">
        <v>13</v>
      </c>
      <c r="F134" t="s">
        <v>123</v>
      </c>
      <c r="G134" s="4" t="str">
        <f>'[2]LAB CIVIL'!B46</f>
        <v>4-05586</v>
      </c>
      <c r="H134" t="str">
        <f>'[2]LAB CIVIL'!C46</f>
        <v>KIT PARA EQUIVALENTE DE ARENA: MARCA, MATEST; MODELO, S159-01 KIT; PROCEDENCIA ITALIA</v>
      </c>
      <c r="I134" s="5" t="str">
        <f>'[2]LAB CIVIL'!D46</f>
        <v>Regular</v>
      </c>
    </row>
    <row r="135" spans="1:9" x14ac:dyDescent="0.25">
      <c r="A135" s="4">
        <f t="shared" si="2"/>
        <v>134</v>
      </c>
      <c r="B135" s="4" t="s">
        <v>12</v>
      </c>
      <c r="C135" t="str">
        <f>'[2]LAB CIVIL'!$C$4</f>
        <v>DIEGO LEONARDO SIMONS LINARES</v>
      </c>
      <c r="E135" t="s">
        <v>13</v>
      </c>
      <c r="F135" t="s">
        <v>123</v>
      </c>
      <c r="G135" s="4" t="str">
        <f>'[2]LAB CIVIL'!B47</f>
        <v>4-05565</v>
      </c>
      <c r="H135" t="str">
        <f>'[2]LAB CIVIL'!C47</f>
        <v>KIT PARA EQUIVALENTE DE ARENA: MARCA, MATEST; MODELO, S159-01 KIT; PROCEDENCIA ITALIA</v>
      </c>
      <c r="I135" s="5" t="str">
        <f>'[2]LAB CIVIL'!D47</f>
        <v>Regular</v>
      </c>
    </row>
    <row r="136" spans="1:9" x14ac:dyDescent="0.25">
      <c r="A136" s="4">
        <f t="shared" si="2"/>
        <v>135</v>
      </c>
      <c r="B136" s="4" t="s">
        <v>12</v>
      </c>
      <c r="C136" t="str">
        <f>'[2]LAB CIVIL'!$C$4</f>
        <v>DIEGO LEONARDO SIMONS LINARES</v>
      </c>
      <c r="E136" t="s">
        <v>13</v>
      </c>
      <c r="F136" t="s">
        <v>123</v>
      </c>
      <c r="G136" s="4" t="str">
        <f>'[2]LAB CIVIL'!B48</f>
        <v>4-05438A</v>
      </c>
      <c r="H136" t="str">
        <f>'[2]LAB CIVIL'!C48</f>
        <v>KIT DE BA­O MARIA DIGITAL EN ACERO INOXIDABLE DE 50 T CON RECIRCULACION DE AGUA Y TERMOMETRO MARCA MATEST MODELO B052 PROCEDENCIA ITALIA COLOR PLATA</v>
      </c>
      <c r="I136" s="5" t="str">
        <f>'[2]LAB CIVIL'!D48</f>
        <v>Regular</v>
      </c>
    </row>
    <row r="137" spans="1:9" x14ac:dyDescent="0.25">
      <c r="A137" s="4">
        <f t="shared" si="2"/>
        <v>136</v>
      </c>
      <c r="B137" s="4" t="s">
        <v>12</v>
      </c>
      <c r="C137" t="str">
        <f>'[2]LAB CIVIL'!$C$4</f>
        <v>DIEGO LEONARDO SIMONS LINARES</v>
      </c>
      <c r="E137" t="s">
        <v>13</v>
      </c>
      <c r="F137" t="s">
        <v>123</v>
      </c>
      <c r="G137" s="4">
        <f>'[2]LAB CIVIL'!B49</f>
        <v>8754</v>
      </c>
      <c r="H137" t="str">
        <f>'[2]LAB CIVIL'!C49</f>
        <v>EQUIPOPARA REALIZAR ENSAYO A LA PERCUSION DIMENSIONES BAJ NORMA ASTMD-1586 DIAMETRO DE EXTERIOR DE 1 3/4'</v>
      </c>
      <c r="I137" s="5" t="str">
        <f>'[2]LAB CIVIL'!D49</f>
        <v>Regular</v>
      </c>
    </row>
    <row r="138" spans="1:9" x14ac:dyDescent="0.25">
      <c r="A138" s="4">
        <f t="shared" si="2"/>
        <v>137</v>
      </c>
      <c r="B138" s="4" t="s">
        <v>12</v>
      </c>
      <c r="C138" t="str">
        <f>'[2]LAB CIVIL'!$C$4</f>
        <v>DIEGO LEONARDO SIMONS LINARES</v>
      </c>
      <c r="E138" t="s">
        <v>13</v>
      </c>
      <c r="F138" t="s">
        <v>123</v>
      </c>
      <c r="G138" s="4" t="str">
        <f>'[2]LAB CIVIL'!B50</f>
        <v>4-05617</v>
      </c>
      <c r="H138" t="str">
        <f>'[2]LAB CIVIL'!C50</f>
        <v>EQUIPO PARA PRISMA GRADUADO, CON PORTAJALONES METRALICOS</v>
      </c>
      <c r="I138" s="5" t="str">
        <f>'[2]LAB CIVIL'!D50</f>
        <v>Regular</v>
      </c>
    </row>
    <row r="139" spans="1:9" x14ac:dyDescent="0.25">
      <c r="A139" s="4">
        <f t="shared" si="2"/>
        <v>138</v>
      </c>
      <c r="B139" s="4" t="s">
        <v>12</v>
      </c>
      <c r="C139" t="str">
        <f>'[2]LAB CIVIL'!$C$4</f>
        <v>DIEGO LEONARDO SIMONS LINARES</v>
      </c>
      <c r="E139" t="s">
        <v>13</v>
      </c>
      <c r="F139" t="s">
        <v>123</v>
      </c>
      <c r="G139" s="4" t="str">
        <f>'[2]LAB CIVIL'!B51</f>
        <v>4-05618</v>
      </c>
      <c r="H139" t="str">
        <f>'[2]LAB CIVIL'!C51</f>
        <v>EQUIPO COMPLETO PARA PRISMA SIMPLE CON PORTAJALONES METALICOS</v>
      </c>
      <c r="I139" s="5" t="str">
        <f>'[2]LAB CIVIL'!D51</f>
        <v>Regular</v>
      </c>
    </row>
    <row r="140" spans="1:9" x14ac:dyDescent="0.25">
      <c r="A140" s="4">
        <f t="shared" si="2"/>
        <v>139</v>
      </c>
      <c r="B140" s="4" t="s">
        <v>12</v>
      </c>
      <c r="C140" t="str">
        <f>'[2]LAB CIVIL'!$C$4</f>
        <v>DIEGO LEONARDO SIMONS LINARES</v>
      </c>
      <c r="E140" t="s">
        <v>13</v>
      </c>
      <c r="F140" t="s">
        <v>123</v>
      </c>
      <c r="G140" s="4" t="str">
        <f>'[2]LAB CIVIL'!B52</f>
        <v>4-11510</v>
      </c>
      <c r="H140" t="str">
        <f>'[2]LAB CIVIL'!C52</f>
        <v>MAQUINA DE ABRASION DE LOS ANGELES MARCA MATEST MODELO A075N NUMERO DE SERIE A075N/AB/0012 PROCEDENCIA ITALIA</v>
      </c>
      <c r="I140" s="5" t="str">
        <f>'[2]LAB CIVIL'!D52</f>
        <v>Regular</v>
      </c>
    </row>
    <row r="141" spans="1:9" x14ac:dyDescent="0.25">
      <c r="A141" s="4">
        <f t="shared" si="2"/>
        <v>140</v>
      </c>
      <c r="B141" s="4" t="s">
        <v>12</v>
      </c>
      <c r="C141" t="str">
        <f>'[2]LAB CIVIL'!$C$4</f>
        <v>DIEGO LEONARDO SIMONS LINARES</v>
      </c>
      <c r="E141" t="s">
        <v>13</v>
      </c>
      <c r="F141" t="s">
        <v>123</v>
      </c>
      <c r="G141" s="4" t="str">
        <f>'[2]LAB CIVIL'!B53</f>
        <v>4-09810</v>
      </c>
      <c r="H141" t="str">
        <f>'[2]LAB CIVIL'!C53</f>
        <v>MOLDE PRISMATICO MATERIAL:METALICO MEDIDAS:15X15X50 DE 6 PULGADAS DE DIAMETRO COLOR PLOMOSERIEN¬2213</v>
      </c>
      <c r="I141" s="5" t="str">
        <f>'[2]LAB CIVIL'!D53</f>
        <v>Regular</v>
      </c>
    </row>
    <row r="142" spans="1:9" x14ac:dyDescent="0.25">
      <c r="A142" s="4">
        <f t="shared" si="2"/>
        <v>141</v>
      </c>
      <c r="B142" s="4" t="s">
        <v>12</v>
      </c>
      <c r="C142" t="str">
        <f>'[2]LAB CIVIL'!$C$4</f>
        <v>DIEGO LEONARDO SIMONS LINARES</v>
      </c>
      <c r="E142" t="s">
        <v>13</v>
      </c>
      <c r="F142" t="s">
        <v>123</v>
      </c>
      <c r="G142" s="4" t="str">
        <f>'[2]LAB CIVIL'!B54</f>
        <v>4-09813</v>
      </c>
      <c r="H142" t="str">
        <f>'[2]LAB CIVIL'!C54</f>
        <v>MOLDE PRISMATICO MATERIAL:METALICO MEDIDAS:15X15X50 DE 6 PULGADAS DE DIAMETRO COLOR PLOMO SERIEN¬2216</v>
      </c>
      <c r="I142" s="5" t="str">
        <f>'[2]LAB CIVIL'!D54</f>
        <v>Regular</v>
      </c>
    </row>
    <row r="143" spans="1:9" x14ac:dyDescent="0.25">
      <c r="A143" s="4">
        <f t="shared" si="2"/>
        <v>142</v>
      </c>
      <c r="B143" s="4" t="s">
        <v>12</v>
      </c>
      <c r="C143" t="str">
        <f>'[2]LAB CIVIL'!$C$4</f>
        <v>DIEGO LEONARDO SIMONS LINARES</v>
      </c>
      <c r="E143" t="s">
        <v>13</v>
      </c>
      <c r="F143" t="s">
        <v>123</v>
      </c>
      <c r="G143" s="4" t="str">
        <f>'[2]LAB CIVIL'!B55</f>
        <v>4-09812</v>
      </c>
      <c r="H143" t="str">
        <f>'[2]LAB CIVIL'!C55</f>
        <v>MOLDE PRISMATICO MATERIAL:METALICO MEDIDAS:15X15X50 DE 6 PULGADAS DE DIAMETRO COLOR PLOMO SERIEN¬2215</v>
      </c>
      <c r="I143" s="5" t="str">
        <f>'[2]LAB CIVIL'!D55</f>
        <v>Regular</v>
      </c>
    </row>
    <row r="144" spans="1:9" x14ac:dyDescent="0.25">
      <c r="A144" s="4">
        <f t="shared" si="2"/>
        <v>143</v>
      </c>
      <c r="B144" s="4" t="s">
        <v>12</v>
      </c>
      <c r="C144" t="str">
        <f>'[2]LAB CIVIL'!$C$4</f>
        <v>DIEGO LEONARDO SIMONS LINARES</v>
      </c>
      <c r="E144" t="s">
        <v>13</v>
      </c>
      <c r="F144" t="s">
        <v>123</v>
      </c>
      <c r="G144" s="4" t="str">
        <f>'[2]LAB CIVIL'!B56</f>
        <v>4-09811</v>
      </c>
      <c r="H144" t="str">
        <f>'[2]LAB CIVIL'!C56</f>
        <v>MOLDE PRISMATICO MATERIAL:METALICO MEDIDAS:15X15X50 DE 6 PULGADAS DE DIAMETRO COLOR PLOMO SERIEN¬2214</v>
      </c>
      <c r="I144" s="5" t="str">
        <f>'[2]LAB CIVIL'!D56</f>
        <v>Regular</v>
      </c>
    </row>
    <row r="145" spans="1:9" x14ac:dyDescent="0.25">
      <c r="A145" s="4">
        <f t="shared" si="2"/>
        <v>144</v>
      </c>
      <c r="B145" s="4" t="s">
        <v>12</v>
      </c>
      <c r="C145" t="str">
        <f>'[2]LAB CIVIL'!$C$4</f>
        <v>DIEGO LEONARDO SIMONS LINARES</v>
      </c>
      <c r="E145" t="s">
        <v>13</v>
      </c>
      <c r="F145" t="s">
        <v>123</v>
      </c>
      <c r="G145" s="4" t="str">
        <f>'[2]LAB CIVIL'!B57</f>
        <v>4-09809</v>
      </c>
      <c r="H145" t="str">
        <f>'[2]LAB CIVIL'!C57</f>
        <v>MOLDE PRISMATICO MATERIAL:METALICO MEDIDAS:15X15X50 DE 6 PULGADAS DE DIAMETRO COLOR PLOMO SERIEN¬2212</v>
      </c>
      <c r="I145" s="5" t="str">
        <f>'[2]LAB CIVIL'!D57</f>
        <v>Regular</v>
      </c>
    </row>
    <row r="146" spans="1:9" x14ac:dyDescent="0.25">
      <c r="A146" s="4">
        <f t="shared" si="2"/>
        <v>145</v>
      </c>
      <c r="B146" s="4" t="s">
        <v>12</v>
      </c>
      <c r="C146" t="str">
        <f>'[2]LAB CIVIL'!$C$4</f>
        <v>DIEGO LEONARDO SIMONS LINARES</v>
      </c>
      <c r="E146" t="s">
        <v>13</v>
      </c>
      <c r="F146" t="s">
        <v>123</v>
      </c>
      <c r="G146" s="4" t="str">
        <f>'[2]LAB CIVIL'!B58</f>
        <v>4-09808</v>
      </c>
      <c r="H146" t="str">
        <f>'[2]LAB CIVIL'!C58</f>
        <v>MOLDE PRISMATICO MATERIAL:METALICO MEDIDAS:15X15X50 DE 6 PULGADAS DE DIAMETRO COLOR PLOMO SERIEN¬2211</v>
      </c>
      <c r="I146" s="5" t="str">
        <f>'[2]LAB CIVIL'!D58</f>
        <v>Regular</v>
      </c>
    </row>
    <row r="147" spans="1:9" x14ac:dyDescent="0.25">
      <c r="A147" s="4">
        <f t="shared" si="2"/>
        <v>146</v>
      </c>
      <c r="B147" s="4" t="s">
        <v>12</v>
      </c>
      <c r="C147" t="str">
        <f>'[2]LAB CIVIL'!$C$4</f>
        <v>DIEGO LEONARDO SIMONS LINARES</v>
      </c>
      <c r="E147" t="s">
        <v>13</v>
      </c>
      <c r="F147" t="s">
        <v>123</v>
      </c>
      <c r="G147" s="4" t="str">
        <f>'[2]LAB CIVIL'!B59</f>
        <v>4-011311</v>
      </c>
      <c r="H147" t="str">
        <f>'[2]LAB CIVIL'!C59</f>
        <v>CUARTEADOR UNIVERSAL DE MUESTRAS MARCA MATEST MODELO A068 PROCEDENCIA ITALIA SERIE A068-05/BC/0009</v>
      </c>
      <c r="I147" s="5" t="str">
        <f>'[2]LAB CIVIL'!D59</f>
        <v>Regular</v>
      </c>
    </row>
    <row r="148" spans="1:9" x14ac:dyDescent="0.25">
      <c r="A148" s="4">
        <f t="shared" si="2"/>
        <v>147</v>
      </c>
      <c r="B148" s="4" t="s">
        <v>12</v>
      </c>
      <c r="C148" t="str">
        <f>'[2]LAB CIVIL'!$C$4</f>
        <v>DIEGO LEONARDO SIMONS LINARES</v>
      </c>
      <c r="E148" t="s">
        <v>13</v>
      </c>
      <c r="F148" t="s">
        <v>123</v>
      </c>
      <c r="G148" s="4" t="str">
        <f>'[2]LAB CIVIL'!B60</f>
        <v>4-011310</v>
      </c>
      <c r="H148" t="str">
        <f>'[2]LAB CIVIL'!C60</f>
        <v>CUARTEADOR UNIVERSAL DE MUESTRAS MARCA MATEST MODELO A068 PROCEDENCIA ITALIA SERIE A068-05/BC/0007</v>
      </c>
      <c r="I148" s="5" t="str">
        <f>'[2]LAB CIVIL'!D60</f>
        <v>Regular</v>
      </c>
    </row>
    <row r="149" spans="1:9" x14ac:dyDescent="0.25">
      <c r="A149" s="4">
        <f t="shared" si="2"/>
        <v>148</v>
      </c>
      <c r="B149" s="4" t="s">
        <v>12</v>
      </c>
      <c r="C149" t="str">
        <f>'[2]LAB CIVIL'!$C$4</f>
        <v>DIEGO LEONARDO SIMONS LINARES</v>
      </c>
      <c r="E149" t="s">
        <v>13</v>
      </c>
      <c r="F149" t="s">
        <v>123</v>
      </c>
      <c r="G149" s="4" t="str">
        <f>'[2]LAB CIVIL'!B61</f>
        <v>4-08781</v>
      </c>
      <c r="H149" t="str">
        <f>'[2]LAB CIVIL'!C61</f>
        <v>CUARTEADOR DE MUESTRAS DE GRAN CAPAC MARCA MATEST MOD. A008,MD1,EN,02 DIMENSIONES ALTURA TOTAL 990MM PESO APROX. 50 KG.</v>
      </c>
      <c r="I149" s="5" t="str">
        <f>'[2]LAB CIVIL'!D61</f>
        <v>Regular</v>
      </c>
    </row>
    <row r="150" spans="1:9" x14ac:dyDescent="0.25">
      <c r="A150" s="4">
        <f t="shared" si="2"/>
        <v>149</v>
      </c>
      <c r="B150" s="4" t="s">
        <v>12</v>
      </c>
      <c r="C150" t="str">
        <f>'[2]LAB CIVIL'!$C$4</f>
        <v>DIEGO LEONARDO SIMONS LINARES</v>
      </c>
      <c r="E150" t="s">
        <v>13</v>
      </c>
      <c r="F150" t="s">
        <v>123</v>
      </c>
      <c r="G150" s="4" t="str">
        <f>'[2]LAB CIVIL'!B62</f>
        <v>4-05621</v>
      </c>
      <c r="H150" t="str">
        <f>'[2]LAB CIVIL'!C62</f>
        <v>MARTILLO DE PROCTOR ESTANDAR</v>
      </c>
      <c r="I150" s="5" t="str">
        <f>'[2]LAB CIVIL'!D62</f>
        <v>Regular</v>
      </c>
    </row>
    <row r="151" spans="1:9" x14ac:dyDescent="0.25">
      <c r="A151" s="4">
        <f t="shared" si="2"/>
        <v>150</v>
      </c>
      <c r="B151" s="4" t="s">
        <v>12</v>
      </c>
      <c r="C151" t="str">
        <f>'[2]LAB CIVIL'!$C$4</f>
        <v>DIEGO LEONARDO SIMONS LINARES</v>
      </c>
      <c r="E151" t="s">
        <v>13</v>
      </c>
      <c r="F151" t="s">
        <v>123</v>
      </c>
      <c r="G151" s="4" t="str">
        <f>'[2]LAB CIVIL'!B63</f>
        <v>4-08615</v>
      </c>
      <c r="H151" t="str">
        <f>'[2]LAB CIVIL'!C63</f>
        <v>MESON DE TRABAJO CON PANEL PERFORADO METALICA BASE GRANITO 3 CAJONES LADERAS 2 PUERTAS ABATIBLES UNA BANDEJA Y 6 RUEDAS DE 0.90X200X0.90 CM DE ALTO</v>
      </c>
      <c r="I151" s="5" t="str">
        <f>'[2]LAB CIVIL'!D63</f>
        <v>Regular</v>
      </c>
    </row>
    <row r="152" spans="1:9" x14ac:dyDescent="0.25">
      <c r="A152" s="4">
        <f t="shared" si="2"/>
        <v>151</v>
      </c>
      <c r="B152" s="4" t="s">
        <v>12</v>
      </c>
      <c r="C152" t="str">
        <f>'[2]LAB CIVIL'!$C$4</f>
        <v>DIEGO LEONARDO SIMONS LINARES</v>
      </c>
      <c r="E152" t="s">
        <v>13</v>
      </c>
      <c r="F152" t="s">
        <v>123</v>
      </c>
      <c r="G152" s="4" t="str">
        <f>'[2]LAB CIVIL'!B64</f>
        <v>4-08614</v>
      </c>
      <c r="H152" t="str">
        <f>'[2]LAB CIVIL'!C64</f>
        <v>MESON DE TRABAJO CON PANEL PERFORADO METALICA BASE GRANITO 3 CAJONES LADERAS 2 PUERTAS ABATIBLES UNA BANDEJA Y 6 RUEDAS DE 0.90X200X0.90 CM DE ALTO</v>
      </c>
      <c r="I152" s="5" t="str">
        <f>'[2]LAB CIVIL'!D64</f>
        <v>Regular</v>
      </c>
    </row>
    <row r="153" spans="1:9" x14ac:dyDescent="0.25">
      <c r="A153" s="4">
        <f t="shared" si="2"/>
        <v>152</v>
      </c>
      <c r="B153" s="4" t="s">
        <v>12</v>
      </c>
      <c r="C153" t="str">
        <f>'[2]LAB CIVIL'!$C$4</f>
        <v>DIEGO LEONARDO SIMONS LINARES</v>
      </c>
      <c r="E153" t="s">
        <v>13</v>
      </c>
      <c r="F153" t="s">
        <v>123</v>
      </c>
      <c r="G153" s="4" t="str">
        <f>'[2]LAB CIVIL'!B65</f>
        <v>4-08613</v>
      </c>
      <c r="H153" t="str">
        <f>'[2]LAB CIVIL'!C65</f>
        <v>MESON DE TRABAJO CON PANEL PERFORADO METALICA BASE GRANITO 3 CAJONES LADERAS 2 PUERTAS ABATIBLES UNA BANDEJA Y 6 RUEDAS DE 0.90X200X0.90 CM DE ALTO</v>
      </c>
      <c r="I153" s="5" t="str">
        <f>'[2]LAB CIVIL'!D65</f>
        <v>Regular</v>
      </c>
    </row>
    <row r="154" spans="1:9" x14ac:dyDescent="0.25">
      <c r="A154" s="4">
        <f t="shared" si="2"/>
        <v>153</v>
      </c>
      <c r="B154" s="4" t="s">
        <v>12</v>
      </c>
      <c r="C154" t="str">
        <f>'[2]LAB CIVIL'!$C$4</f>
        <v>DIEGO LEONARDO SIMONS LINARES</v>
      </c>
      <c r="E154" t="s">
        <v>13</v>
      </c>
      <c r="F154" t="s">
        <v>123</v>
      </c>
      <c r="G154" s="4" t="str">
        <f>'[2]LAB CIVIL'!B66</f>
        <v>4-011350</v>
      </c>
      <c r="H154" t="str">
        <f>'[2]LAB CIVIL'!C66</f>
        <v>MOLDE MARSHALL 4 MARCA MATEST MODELO B030 KIT PROCEDENCIA DE ITALIA SERIE B030-KIT/BA/007</v>
      </c>
      <c r="I154" s="5" t="str">
        <f>'[2]LAB CIVIL'!D66</f>
        <v>Regular</v>
      </c>
    </row>
    <row r="155" spans="1:9" x14ac:dyDescent="0.25">
      <c r="A155" s="4">
        <f t="shared" si="2"/>
        <v>154</v>
      </c>
      <c r="B155" s="4" t="s">
        <v>12</v>
      </c>
      <c r="C155" t="str">
        <f>'[2]LAB CIVIL'!$C$4</f>
        <v>DIEGO LEONARDO SIMONS LINARES</v>
      </c>
      <c r="E155" t="s">
        <v>13</v>
      </c>
      <c r="F155" t="s">
        <v>123</v>
      </c>
      <c r="G155" s="4" t="str">
        <f>'[2]LAB CIVIL'!B67</f>
        <v>4-011349</v>
      </c>
      <c r="H155" t="str">
        <f>'[2]LAB CIVIL'!C67</f>
        <v>MOLDE MARSHALL 4 MARCA MATEST MODELO B030 KIT PROCEDENCIA DE ITALIA SERIE B030-KIT/BA/006</v>
      </c>
      <c r="I155" s="5" t="str">
        <f>'[2]LAB CIVIL'!D67</f>
        <v>Regular</v>
      </c>
    </row>
    <row r="156" spans="1:9" x14ac:dyDescent="0.25">
      <c r="A156" s="4">
        <f t="shared" si="2"/>
        <v>155</v>
      </c>
      <c r="B156" s="4" t="s">
        <v>12</v>
      </c>
      <c r="C156" t="str">
        <f>'[2]LAB CIVIL'!$C$4</f>
        <v>DIEGO LEONARDO SIMONS LINARES</v>
      </c>
      <c r="E156" t="s">
        <v>13</v>
      </c>
      <c r="F156" t="s">
        <v>123</v>
      </c>
      <c r="G156" s="4" t="str">
        <f>'[2]LAB CIVIL'!B68</f>
        <v>4-011348</v>
      </c>
      <c r="H156" t="str">
        <f>'[2]LAB CIVIL'!C68</f>
        <v>MOLDE MARSHALL 4 MARCA MATEST MODELO B030 KIT PROCEDENCIA DE ITALIA SERIE B030-KIT/BA/005</v>
      </c>
      <c r="I156" s="5" t="str">
        <f>'[2]LAB CIVIL'!D68</f>
        <v>Regular</v>
      </c>
    </row>
    <row r="157" spans="1:9" x14ac:dyDescent="0.25">
      <c r="A157" s="4">
        <f t="shared" si="2"/>
        <v>156</v>
      </c>
      <c r="B157" s="4" t="s">
        <v>12</v>
      </c>
      <c r="C157" t="str">
        <f>'[2]LAB CIVIL'!$C$4</f>
        <v>DIEGO LEONARDO SIMONS LINARES</v>
      </c>
      <c r="E157" t="s">
        <v>13</v>
      </c>
      <c r="F157" t="s">
        <v>123</v>
      </c>
      <c r="G157" s="4" t="str">
        <f>'[2]LAB CIVIL'!B69</f>
        <v>4-011347</v>
      </c>
      <c r="H157" t="str">
        <f>'[2]LAB CIVIL'!C69</f>
        <v>MOLDE MARSHALL 4 MARCA MATEST MODELO B030 KIT PROCEDENCIA DE ITALIA SERIE B030-KIT/BA/004</v>
      </c>
      <c r="I157" s="5" t="str">
        <f>'[2]LAB CIVIL'!D69</f>
        <v>Regular</v>
      </c>
    </row>
    <row r="158" spans="1:9" x14ac:dyDescent="0.25">
      <c r="A158" s="4">
        <f t="shared" si="2"/>
        <v>157</v>
      </c>
      <c r="B158" s="4" t="s">
        <v>12</v>
      </c>
      <c r="C158" t="str">
        <f>'[2]LAB CIVIL'!$C$4</f>
        <v>DIEGO LEONARDO SIMONS LINARES</v>
      </c>
      <c r="E158" t="s">
        <v>13</v>
      </c>
      <c r="F158" t="s">
        <v>123</v>
      </c>
      <c r="G158" s="4" t="str">
        <f>'[2]LAB CIVIL'!B70</f>
        <v>4-011346</v>
      </c>
      <c r="H158" t="str">
        <f>'[2]LAB CIVIL'!C70</f>
        <v>MOLDE MARSHALL 4 MARCA MATEST MODELO B030 KIT PROCEDENCIA DE ITALIA SERIE B030-KIT/BA/003</v>
      </c>
      <c r="I158" s="5" t="str">
        <f>'[2]LAB CIVIL'!D70</f>
        <v>Regular</v>
      </c>
    </row>
    <row r="159" spans="1:9" x14ac:dyDescent="0.25">
      <c r="A159" s="4">
        <f t="shared" si="2"/>
        <v>158</v>
      </c>
      <c r="B159" s="4" t="s">
        <v>12</v>
      </c>
      <c r="C159" t="str">
        <f>'[2]LAB CIVIL'!$C$4</f>
        <v>DIEGO LEONARDO SIMONS LINARES</v>
      </c>
      <c r="E159" t="s">
        <v>13</v>
      </c>
      <c r="F159" t="s">
        <v>123</v>
      </c>
      <c r="G159" s="4" t="str">
        <f>'[2]LAB CIVIL'!B71</f>
        <v>4-011345</v>
      </c>
      <c r="H159" t="str">
        <f>'[2]LAB CIVIL'!C71</f>
        <v>MOLDE MARSHALL 4 MARCA MATEST MODELO B030 KIT PROCEDENCIA DE ITALIA SERIE B030-KIT/BA/002</v>
      </c>
      <c r="I159" s="5" t="str">
        <f>'[2]LAB CIVIL'!D71</f>
        <v>Regular</v>
      </c>
    </row>
    <row r="160" spans="1:9" x14ac:dyDescent="0.25">
      <c r="A160" s="4">
        <f t="shared" si="2"/>
        <v>159</v>
      </c>
      <c r="B160" s="4" t="s">
        <v>12</v>
      </c>
      <c r="C160" t="str">
        <f>'[2]LAB CIVIL'!$C$4</f>
        <v>DIEGO LEONARDO SIMONS LINARES</v>
      </c>
      <c r="E160" t="s">
        <v>13</v>
      </c>
      <c r="F160" t="s">
        <v>123</v>
      </c>
      <c r="G160" s="4" t="str">
        <f>'[2]LAB CIVIL'!B72</f>
        <v>4-011325</v>
      </c>
      <c r="H160" t="str">
        <f>'[2]LAB CIVIL'!C72</f>
        <v>PENETROMETRO DE CONO SEMI AUTOMATICO MARCA MATEST MODELO S165-02 KIT PROCEDENCIA DE ITALIA SERIE S165-02/BA/156</v>
      </c>
      <c r="I160" s="5" t="str">
        <f>'[2]LAB CIVIL'!D72</f>
        <v>Regular</v>
      </c>
    </row>
    <row r="161" spans="1:9" x14ac:dyDescent="0.25">
      <c r="A161" s="4">
        <f t="shared" si="2"/>
        <v>160</v>
      </c>
      <c r="B161" s="4" t="s">
        <v>12</v>
      </c>
      <c r="C161" t="str">
        <f>'[2]LAB CIVIL'!$C$4</f>
        <v>DIEGO LEONARDO SIMONS LINARES</v>
      </c>
      <c r="E161" t="s">
        <v>13</v>
      </c>
      <c r="F161" t="s">
        <v>123</v>
      </c>
      <c r="G161" s="4" t="str">
        <f>'[2]LAB CIVIL'!B73</f>
        <v>4-011324</v>
      </c>
      <c r="H161" t="str">
        <f>'[2]LAB CIVIL'!C73</f>
        <v>PENETROMETRO DE CONO SEMI AUTOMATICO MARCA MATEST MODELO S165-02 KIT PROCEDENCIA DE ITALIA SERIE S165-02/BA/155</v>
      </c>
      <c r="I161" s="5" t="str">
        <f>'[2]LAB CIVIL'!D73</f>
        <v>Regular</v>
      </c>
    </row>
    <row r="162" spans="1:9" x14ac:dyDescent="0.25">
      <c r="A162" s="4">
        <f t="shared" si="2"/>
        <v>161</v>
      </c>
      <c r="B162" s="4" t="s">
        <v>12</v>
      </c>
      <c r="C162" t="str">
        <f>'[2]LAB CIVIL'!$C$4</f>
        <v>DIEGO LEONARDO SIMONS LINARES</v>
      </c>
      <c r="E162" t="s">
        <v>13</v>
      </c>
      <c r="F162" t="s">
        <v>123</v>
      </c>
      <c r="G162" s="4" t="str">
        <f>'[2]LAB CIVIL'!B74</f>
        <v>4-011351</v>
      </c>
      <c r="H162" t="str">
        <f>'[2]LAB CIVIL'!C74</f>
        <v>PENETROMETRO AUTOMATICO MARCA MATEST MODELO B059M PROCEDENCIA ITALIA SERIE B059M/BC/0008</v>
      </c>
      <c r="I162" s="5" t="str">
        <f>'[2]LAB CIVIL'!D74</f>
        <v>Regular</v>
      </c>
    </row>
    <row r="163" spans="1:9" x14ac:dyDescent="0.25">
      <c r="A163" s="4">
        <f t="shared" si="2"/>
        <v>162</v>
      </c>
      <c r="B163" s="4" t="s">
        <v>12</v>
      </c>
      <c r="C163" t="str">
        <f>'[2]LAB CIVIL'!$C$4</f>
        <v>DIEGO LEONARDO SIMONS LINARES</v>
      </c>
      <c r="E163" t="s">
        <v>13</v>
      </c>
      <c r="F163" t="s">
        <v>123</v>
      </c>
      <c r="G163" s="4" t="str">
        <f>'[2]LAB CIVIL'!B75</f>
        <v>4-11508</v>
      </c>
      <c r="H163" t="str">
        <f>'[2]LAB CIVIL'!C75</f>
        <v>EQUIPO VICAT AUTOMATICO MARCA MATEST MODELO E044N NUMERO DE SERIE E044N/AB/0023 PROCEDENCIA ITALIA</v>
      </c>
      <c r="I163" s="5" t="str">
        <f>'[2]LAB CIVIL'!D75</f>
        <v>Regular</v>
      </c>
    </row>
    <row r="164" spans="1:9" x14ac:dyDescent="0.25">
      <c r="A164" s="4">
        <f t="shared" si="2"/>
        <v>163</v>
      </c>
      <c r="B164" s="4" t="s">
        <v>12</v>
      </c>
      <c r="C164" t="str">
        <f>'[2]LAB CIVIL'!$C$4</f>
        <v>DIEGO LEONARDO SIMONS LINARES</v>
      </c>
      <c r="E164" t="s">
        <v>13</v>
      </c>
      <c r="F164" t="s">
        <v>123</v>
      </c>
      <c r="G164" s="4" t="str">
        <f>'[2]LAB CIVIL'!B76</f>
        <v>4-08784</v>
      </c>
      <c r="H164" t="str">
        <f>'[2]LAB CIVIL'!C76</f>
        <v>EQUIPO TANQUE DE CURADO MATEST MOD. C302 KIT CAPAC 650 LITROS MEDIDAS 104*104*60,5 CM CON REJILLA DE CARGA PARA LA MUESTRA CALENTADOR DE INMERSION.</v>
      </c>
      <c r="I164" s="5" t="str">
        <f>'[2]LAB CIVIL'!D76</f>
        <v>Regular</v>
      </c>
    </row>
    <row r="165" spans="1:9" x14ac:dyDescent="0.25">
      <c r="A165" s="4">
        <f t="shared" si="2"/>
        <v>164</v>
      </c>
      <c r="B165" s="4" t="s">
        <v>12</v>
      </c>
      <c r="C165" t="str">
        <f>'[2]LAB CIVIL'!$C$4</f>
        <v>DIEGO LEONARDO SIMONS LINARES</v>
      </c>
      <c r="E165" t="s">
        <v>13</v>
      </c>
      <c r="F165" t="s">
        <v>123</v>
      </c>
      <c r="G165" s="4" t="str">
        <f>'[2]LAB CIVIL'!B77</f>
        <v>4-08789</v>
      </c>
      <c r="H165" t="str">
        <f>'[2]LAB CIVIL'!C77</f>
        <v>EQUIPO DE INDICADOR DE ELONGACION MARCA MATEST, MOD. A071.</v>
      </c>
      <c r="I165" s="5" t="str">
        <f>'[2]LAB CIVIL'!D77</f>
        <v>Regular</v>
      </c>
    </row>
    <row r="166" spans="1:9" x14ac:dyDescent="0.25">
      <c r="A166" s="4">
        <f t="shared" si="2"/>
        <v>165</v>
      </c>
      <c r="B166" s="4" t="s">
        <v>12</v>
      </c>
      <c r="C166" t="str">
        <f>'[2]LAB CIVIL'!$C$4</f>
        <v>DIEGO LEONARDO SIMONS LINARES</v>
      </c>
      <c r="E166" t="s">
        <v>13</v>
      </c>
      <c r="F166" t="s">
        <v>123</v>
      </c>
      <c r="G166" s="4" t="str">
        <f>'[2]LAB CIVIL'!B78</f>
        <v>4-011343</v>
      </c>
      <c r="H166" t="str">
        <f>'[2]LAB CIVIL'!C78</f>
        <v>DUCTILOMETRO MARCA MATEST MODELO B054 PROCEDENCIA DE ITALIA SERIE B054/BA/006</v>
      </c>
      <c r="I166" s="5" t="str">
        <f>'[2]LAB CIVIL'!D78</f>
        <v>Regular</v>
      </c>
    </row>
    <row r="167" spans="1:9" x14ac:dyDescent="0.25">
      <c r="A167" s="4">
        <f t="shared" si="2"/>
        <v>166</v>
      </c>
      <c r="B167" s="4" t="s">
        <v>12</v>
      </c>
      <c r="C167" t="str">
        <f>'[2]LAB CIVIL'!$C$4</f>
        <v>DIEGO LEONARDO SIMONS LINARES</v>
      </c>
      <c r="E167" t="s">
        <v>13</v>
      </c>
      <c r="F167" t="s">
        <v>123</v>
      </c>
      <c r="G167" s="4" t="str">
        <f>'[2]LAB CIVIL'!B79</f>
        <v>4-05614</v>
      </c>
      <c r="H167" t="str">
        <f>'[2]LAB CIVIL'!C79</f>
        <v>ESTACION TOTAL MARCA:SOKKIA MODELO SET650X SERIE: 112493</v>
      </c>
      <c r="I167" s="5" t="str">
        <f>'[2]LAB CIVIL'!D79</f>
        <v>Regular</v>
      </c>
    </row>
    <row r="168" spans="1:9" x14ac:dyDescent="0.25">
      <c r="A168" s="4">
        <f t="shared" si="2"/>
        <v>167</v>
      </c>
      <c r="B168" s="4" t="s">
        <v>12</v>
      </c>
      <c r="C168" t="str">
        <f>'[2]LAB CIVIL'!$C$4</f>
        <v>DIEGO LEONARDO SIMONS LINARES</v>
      </c>
      <c r="E168" t="s">
        <v>13</v>
      </c>
      <c r="F168" t="s">
        <v>123</v>
      </c>
      <c r="G168" s="4" t="str">
        <f>'[2]LAB CIVIL'!B80</f>
        <v>4-07059</v>
      </c>
      <c r="H168" t="str">
        <f>'[2]LAB CIVIL'!C80</f>
        <v>TAMICES CERTIFICADOS EN BRONCE DE 8' DIAM. 8BB8F49735</v>
      </c>
      <c r="I168" s="5" t="str">
        <f>'[2]LAB CIVIL'!D80</f>
        <v>Regular</v>
      </c>
    </row>
    <row r="169" spans="1:9" x14ac:dyDescent="0.25">
      <c r="A169" s="4">
        <f t="shared" si="2"/>
        <v>168</v>
      </c>
      <c r="B169" s="4" t="s">
        <v>12</v>
      </c>
      <c r="C169" t="str">
        <f>'[2]LAB CIVIL'!$C$4</f>
        <v>DIEGO LEONARDO SIMONS LINARES</v>
      </c>
      <c r="E169" t="s">
        <v>13</v>
      </c>
      <c r="F169" t="s">
        <v>123</v>
      </c>
      <c r="G169" s="4" t="str">
        <f>'[2]LAB CIVIL'!B81</f>
        <v>4-05531</v>
      </c>
      <c r="H169" t="str">
        <f>'[2]LAB CIVIL'!C81</f>
        <v>JUEGO DE TAMIZ 8' DE 13 PIEZAS DIFERENTES MEDIDAS DE MALLA COLOR GRIS MARCA MATEST</v>
      </c>
      <c r="I169" s="5" t="str">
        <f>'[2]LAB CIVIL'!D81</f>
        <v>Regular</v>
      </c>
    </row>
    <row r="170" spans="1:9" x14ac:dyDescent="0.25">
      <c r="A170" s="4">
        <f t="shared" si="2"/>
        <v>169</v>
      </c>
      <c r="B170" s="4" t="s">
        <v>12</v>
      </c>
      <c r="C170" t="str">
        <f>'[2]LAB CIVIL'!$C$4</f>
        <v>DIEGO LEONARDO SIMONS LINARES</v>
      </c>
      <c r="E170" t="s">
        <v>13</v>
      </c>
      <c r="F170" t="s">
        <v>123</v>
      </c>
      <c r="G170" s="4" t="str">
        <f>'[2]LAB CIVIL'!B82</f>
        <v>4-05530</v>
      </c>
      <c r="H170" t="str">
        <f>'[2]LAB CIVIL'!C82</f>
        <v>JUEGO DE TAMIZ 8' DE 13 PIEZAS DIFERENTES MEDIDAS DE MALLA COLOR GRIS MARCA MATEST</v>
      </c>
      <c r="I170" s="5" t="str">
        <f>'[2]LAB CIVIL'!D82</f>
        <v>Malo</v>
      </c>
    </row>
    <row r="171" spans="1:9" x14ac:dyDescent="0.25">
      <c r="A171" s="4">
        <f t="shared" si="2"/>
        <v>170</v>
      </c>
      <c r="B171" s="4" t="s">
        <v>12</v>
      </c>
      <c r="C171" t="str">
        <f>'[2]LAB CIVIL'!$C$4</f>
        <v>DIEGO LEONARDO SIMONS LINARES</v>
      </c>
      <c r="E171" t="s">
        <v>13</v>
      </c>
      <c r="F171" t="s">
        <v>123</v>
      </c>
      <c r="G171" s="4" t="str">
        <f>'[2]LAB CIVIL'!B83</f>
        <v>4-05529</v>
      </c>
      <c r="H171" t="str">
        <f>'[2]LAB CIVIL'!C83</f>
        <v>JUEGO DE TAMIZ 8' DE 13 PIEZAS DIFERENTES MEDIDAS DE MALLA COLOR GRIS MARCA MATEST</v>
      </c>
      <c r="I171" s="5" t="str">
        <f>'[2]LAB CIVIL'!D83</f>
        <v>Regular</v>
      </c>
    </row>
    <row r="172" spans="1:9" x14ac:dyDescent="0.25">
      <c r="A172" s="4">
        <f t="shared" si="2"/>
        <v>171</v>
      </c>
      <c r="B172" s="4" t="s">
        <v>12</v>
      </c>
      <c r="C172" t="str">
        <f>'[2]LAB CIVIL'!$C$4</f>
        <v>DIEGO LEONARDO SIMONS LINARES</v>
      </c>
      <c r="E172" t="s">
        <v>13</v>
      </c>
      <c r="F172" t="s">
        <v>123</v>
      </c>
      <c r="G172" s="4" t="str">
        <f>'[2]LAB CIVIL'!B84</f>
        <v>4-05528</v>
      </c>
      <c r="H172" t="str">
        <f>'[2]LAB CIVIL'!C84</f>
        <v>JUEGO DE TAMIZ 8' DE 13 PIEZAS DIFERENTES MEDIDAS DE MALLA COLOR GRIS MARCA MATEST</v>
      </c>
      <c r="I172" s="5" t="str">
        <f>'[2]LAB CIVIL'!D84</f>
        <v>Regular</v>
      </c>
    </row>
    <row r="173" spans="1:9" x14ac:dyDescent="0.25">
      <c r="A173" s="4">
        <f t="shared" si="2"/>
        <v>172</v>
      </c>
      <c r="B173" s="4" t="s">
        <v>12</v>
      </c>
      <c r="C173" t="str">
        <f>'[2]LAB CIVIL'!$C$4</f>
        <v>DIEGO LEONARDO SIMONS LINARES</v>
      </c>
      <c r="E173" t="s">
        <v>13</v>
      </c>
      <c r="F173" t="s">
        <v>123</v>
      </c>
      <c r="G173" s="4" t="str">
        <f>'[2]LAB CIVIL'!B85</f>
        <v>4-05527</v>
      </c>
      <c r="H173" t="str">
        <f>'[2]LAB CIVIL'!C85</f>
        <v>JUEGO DE TAMIZ 8' DE 13 PIEZAS DIFERENTES MEDIDAS DE MALLA COLOR GRIS MARCA MATEST</v>
      </c>
      <c r="I173" s="5" t="str">
        <f>'[2]LAB CIVIL'!D85</f>
        <v>Regular</v>
      </c>
    </row>
    <row r="174" spans="1:9" x14ac:dyDescent="0.25">
      <c r="A174" s="4">
        <f t="shared" si="2"/>
        <v>173</v>
      </c>
      <c r="B174" s="4" t="s">
        <v>12</v>
      </c>
      <c r="C174" t="str">
        <f>'[2]LAB CIVIL'!$C$4</f>
        <v>DIEGO LEONARDO SIMONS LINARES</v>
      </c>
      <c r="E174" t="s">
        <v>13</v>
      </c>
      <c r="F174" t="s">
        <v>123</v>
      </c>
      <c r="G174" s="4" t="str">
        <f>'[2]LAB CIVIL'!B86</f>
        <v>4-05526</v>
      </c>
      <c r="H174" t="str">
        <f>'[2]LAB CIVIL'!C86</f>
        <v>JUEGO DE TAMIZ 8' DE 13 PIEZAS DIFERENTES MEDIDAS DE MALLA COLOR GRIS MARCA MATEST</v>
      </c>
      <c r="I174" s="5" t="str">
        <f>'[2]LAB CIVIL'!D86</f>
        <v>Regular</v>
      </c>
    </row>
    <row r="175" spans="1:9" x14ac:dyDescent="0.25">
      <c r="A175" s="4">
        <f t="shared" si="2"/>
        <v>174</v>
      </c>
      <c r="B175" s="4" t="s">
        <v>12</v>
      </c>
      <c r="C175" t="str">
        <f>'[2]LAB CIVIL'!$C$4</f>
        <v>DIEGO LEONARDO SIMONS LINARES</v>
      </c>
      <c r="E175" t="s">
        <v>13</v>
      </c>
      <c r="F175" t="s">
        <v>123</v>
      </c>
      <c r="G175" s="4" t="str">
        <f>'[2]LAB CIVIL'!B87</f>
        <v>4-05525</v>
      </c>
      <c r="H175" t="str">
        <f>'[2]LAB CIVIL'!C87</f>
        <v>JUEGO DE TAMIZ 8' DE 13 PIEZAS DIFERENTES MEDIDAS DE MALLA COLOR GRIS MARCA MATEST</v>
      </c>
      <c r="I175" s="5" t="str">
        <f>'[2]LAB CIVIL'!D87</f>
        <v>Regular</v>
      </c>
    </row>
    <row r="176" spans="1:9" x14ac:dyDescent="0.25">
      <c r="A176" s="4">
        <f t="shared" si="2"/>
        <v>175</v>
      </c>
      <c r="B176" s="4" t="s">
        <v>12</v>
      </c>
      <c r="C176" t="str">
        <f>'[2]LAB CIVIL'!$C$4</f>
        <v>DIEGO LEONARDO SIMONS LINARES</v>
      </c>
      <c r="E176" t="s">
        <v>13</v>
      </c>
      <c r="F176" t="s">
        <v>123</v>
      </c>
      <c r="G176" s="4" t="str">
        <f>'[2]LAB CIVIL'!B88</f>
        <v>4-05524</v>
      </c>
      <c r="H176" t="str">
        <f>'[2]LAB CIVIL'!C88</f>
        <v>JUEGO DE TAMIZ 8' DE 13 PIEZAS DIFERENTES MEDIDAS DE MALLA COLOR GRIS MARCA MATEST</v>
      </c>
      <c r="I176" s="5" t="str">
        <f>'[2]LAB CIVIL'!D88</f>
        <v>Regular</v>
      </c>
    </row>
    <row r="177" spans="1:9" x14ac:dyDescent="0.25">
      <c r="A177" s="4">
        <f t="shared" si="2"/>
        <v>176</v>
      </c>
      <c r="B177" s="4" t="s">
        <v>12</v>
      </c>
      <c r="C177" t="str">
        <f>'[2]LAB CIVIL'!$C$4</f>
        <v>DIEGO LEONARDO SIMONS LINARES</v>
      </c>
      <c r="E177" t="s">
        <v>13</v>
      </c>
      <c r="F177" t="s">
        <v>123</v>
      </c>
      <c r="G177" s="4" t="str">
        <f>'[2]LAB CIVIL'!B89</f>
        <v>4-05523</v>
      </c>
      <c r="H177" t="str">
        <f>'[2]LAB CIVIL'!C89</f>
        <v>JUEGO DE TAMIZ 8' DE 13 PIEZAS DIFERENTES MEDIDAS DE MALLA COLOR GRIS MARCA MATEST</v>
      </c>
      <c r="I177" s="5" t="str">
        <f>'[2]LAB CIVIL'!D89</f>
        <v>Regular</v>
      </c>
    </row>
    <row r="178" spans="1:9" x14ac:dyDescent="0.25">
      <c r="A178" s="4">
        <f t="shared" si="2"/>
        <v>177</v>
      </c>
      <c r="B178" s="4" t="s">
        <v>12</v>
      </c>
      <c r="C178" t="str">
        <f>'[2]LAB CIVIL'!$C$4</f>
        <v>DIEGO LEONARDO SIMONS LINARES</v>
      </c>
      <c r="E178" t="s">
        <v>13</v>
      </c>
      <c r="F178" t="s">
        <v>123</v>
      </c>
      <c r="G178" s="4" t="str">
        <f>'[2]LAB CIVIL'!B90</f>
        <v>4-05522</v>
      </c>
      <c r="H178" t="str">
        <f>'[2]LAB CIVIL'!C90</f>
        <v>JUEGO DE TAMIZ 8' DE 13 PIEZAS DIFERENTES MEDIDAS DE MALLA COLOR GRIS MARCA MATEST</v>
      </c>
      <c r="I178" s="5" t="str">
        <f>'[2]LAB CIVIL'!D90</f>
        <v>Regular</v>
      </c>
    </row>
    <row r="179" spans="1:9" x14ac:dyDescent="0.25">
      <c r="A179" s="4">
        <f t="shared" si="2"/>
        <v>178</v>
      </c>
      <c r="B179" s="4" t="s">
        <v>12</v>
      </c>
      <c r="C179" t="str">
        <f>'[2]LAB CIVIL'!$C$4</f>
        <v>DIEGO LEONARDO SIMONS LINARES</v>
      </c>
      <c r="E179" t="s">
        <v>13</v>
      </c>
      <c r="F179" t="s">
        <v>123</v>
      </c>
      <c r="G179" s="4" t="str">
        <f>'[2]LAB CIVIL'!B91</f>
        <v>4-05521</v>
      </c>
      <c r="H179" t="str">
        <f>'[2]LAB CIVIL'!C91</f>
        <v>JUEGO DE TAMIZ 8' DE 13 PIEZAS DIFERENTES MEDIDAS DE MALLA COLOR GRIS MARCA MATEST</v>
      </c>
      <c r="I179" s="5" t="str">
        <f>'[2]LAB CIVIL'!D91</f>
        <v>Regular</v>
      </c>
    </row>
    <row r="180" spans="1:9" x14ac:dyDescent="0.25">
      <c r="A180" s="4">
        <f t="shared" si="2"/>
        <v>179</v>
      </c>
      <c r="B180" s="4" t="s">
        <v>12</v>
      </c>
      <c r="C180" t="str">
        <f>'[2]LAB CIVIL'!$C$4</f>
        <v>DIEGO LEONARDO SIMONS LINARES</v>
      </c>
      <c r="E180" t="s">
        <v>13</v>
      </c>
      <c r="F180" t="s">
        <v>123</v>
      </c>
      <c r="G180" s="4" t="str">
        <f>'[2]LAB CIVIL'!B92</f>
        <v>4-05520</v>
      </c>
      <c r="H180" t="str">
        <f>'[2]LAB CIVIL'!C92</f>
        <v>JUEGO DE TAMIZ 8' DE 13 PIEZAS DIFERENTES MEDIDAS DE MALLA COLOR GRIS MARCA MATEST</v>
      </c>
      <c r="I180" s="5" t="str">
        <f>'[2]LAB CIVIL'!D92</f>
        <v>Regular</v>
      </c>
    </row>
    <row r="181" spans="1:9" x14ac:dyDescent="0.25">
      <c r="A181" s="4">
        <f t="shared" si="2"/>
        <v>180</v>
      </c>
      <c r="B181" s="4" t="s">
        <v>12</v>
      </c>
      <c r="C181" t="str">
        <f>'[2]LAB CIVIL'!$C$4</f>
        <v>DIEGO LEONARDO SIMONS LINARES</v>
      </c>
      <c r="E181" t="s">
        <v>13</v>
      </c>
      <c r="F181" t="s">
        <v>123</v>
      </c>
      <c r="G181" s="4" t="str">
        <f>'[2]LAB CIVIL'!B93</f>
        <v>4-05518</v>
      </c>
      <c r="H181" t="str">
        <f>'[2]LAB CIVIL'!C93</f>
        <v>JUEGO DE TAMIZ 8' DE 13 PIEZAS DIFERENTES MEDIDAS DE MALLA COLOR GRIS MARCA MATEST</v>
      </c>
      <c r="I181" s="5" t="str">
        <f>'[2]LAB CIVIL'!D93</f>
        <v>Regular</v>
      </c>
    </row>
    <row r="182" spans="1:9" x14ac:dyDescent="0.25">
      <c r="A182" s="4">
        <f t="shared" si="2"/>
        <v>181</v>
      </c>
      <c r="B182" s="4" t="s">
        <v>12</v>
      </c>
      <c r="C182" t="str">
        <f>'[2]LAB CIVIL'!$C$4</f>
        <v>DIEGO LEONARDO SIMONS LINARES</v>
      </c>
      <c r="E182" t="s">
        <v>13</v>
      </c>
      <c r="F182" t="s">
        <v>123</v>
      </c>
      <c r="G182" s="4" t="str">
        <f>'[2]LAB CIVIL'!B94</f>
        <v>4-05517</v>
      </c>
      <c r="H182" t="str">
        <f>'[2]LAB CIVIL'!C94</f>
        <v>JUEGO DE TAMIZ 8' DE 13 PIEZAS DIFERENTES MEDIDAS DE MALLA COLOR GRIS MARCA MATEST</v>
      </c>
      <c r="I182" s="5" t="str">
        <f>'[2]LAB CIVIL'!D94</f>
        <v>Regular</v>
      </c>
    </row>
    <row r="183" spans="1:9" x14ac:dyDescent="0.25">
      <c r="A183" s="4">
        <f t="shared" si="2"/>
        <v>182</v>
      </c>
      <c r="B183" s="4" t="s">
        <v>12</v>
      </c>
      <c r="C183" t="str">
        <f>'[2]LAB CIVIL'!$C$4</f>
        <v>DIEGO LEONARDO SIMONS LINARES</v>
      </c>
      <c r="E183" t="s">
        <v>13</v>
      </c>
      <c r="F183" t="s">
        <v>123</v>
      </c>
      <c r="G183" s="4" t="str">
        <f>'[2]LAB CIVIL'!B95</f>
        <v>4-05516</v>
      </c>
      <c r="H183" t="str">
        <f>'[2]LAB CIVIL'!C95</f>
        <v>JUEGO DE TAMIZ 8' DE 13 PIEZAS DIFERENTES MEDIDAS DE MALLA COLOR GRIS MARCA MATEST</v>
      </c>
      <c r="I183" s="5" t="str">
        <f>'[2]LAB CIVIL'!D95</f>
        <v>Regular</v>
      </c>
    </row>
    <row r="184" spans="1:9" x14ac:dyDescent="0.25">
      <c r="A184" s="4">
        <f t="shared" si="2"/>
        <v>183</v>
      </c>
      <c r="B184" s="4" t="s">
        <v>12</v>
      </c>
      <c r="C184" t="str">
        <f>'[2]LAB CIVIL'!$C$4</f>
        <v>DIEGO LEONARDO SIMONS LINARES</v>
      </c>
      <c r="E184" t="s">
        <v>13</v>
      </c>
      <c r="F184" t="s">
        <v>123</v>
      </c>
      <c r="G184" s="4" t="str">
        <f>'[2]LAB CIVIL'!B96</f>
        <v>4-05515</v>
      </c>
      <c r="H184" t="str">
        <f>'[2]LAB CIVIL'!C96</f>
        <v>JUEGO DE TAMIZ 8' DE 13 PIEZAS DIFERENTES MEDIDAS DE MALLA COLOR GRIS MARCA MATEST</v>
      </c>
      <c r="I184" s="5" t="str">
        <f>'[2]LAB CIVIL'!D96</f>
        <v>Regular</v>
      </c>
    </row>
    <row r="185" spans="1:9" x14ac:dyDescent="0.25">
      <c r="A185" s="4">
        <f t="shared" si="2"/>
        <v>184</v>
      </c>
      <c r="B185" s="4" t="s">
        <v>12</v>
      </c>
      <c r="C185" t="str">
        <f>'[2]LAB CIVIL'!$C$4</f>
        <v>DIEGO LEONARDO SIMONS LINARES</v>
      </c>
      <c r="E185" t="s">
        <v>13</v>
      </c>
      <c r="F185" t="s">
        <v>123</v>
      </c>
      <c r="G185" s="4" t="str">
        <f>'[2]LAB CIVIL'!B97</f>
        <v>4-05514</v>
      </c>
      <c r="H185" t="str">
        <f>'[2]LAB CIVIL'!C97</f>
        <v>JUEGO DE TAMIZ 8' DE 13 PIEZAS DIFERENTES MEDIDAS DE MALLA COLOR GRIS MARCA MATEST</v>
      </c>
      <c r="I185" s="5" t="str">
        <f>'[2]LAB CIVIL'!D97</f>
        <v>Regular</v>
      </c>
    </row>
    <row r="186" spans="1:9" x14ac:dyDescent="0.25">
      <c r="A186" s="4">
        <f t="shared" si="2"/>
        <v>185</v>
      </c>
      <c r="B186" s="4" t="s">
        <v>12</v>
      </c>
      <c r="C186" t="str">
        <f>'[2]LAB CIVIL'!$C$4</f>
        <v>DIEGO LEONARDO SIMONS LINARES</v>
      </c>
      <c r="E186" t="s">
        <v>13</v>
      </c>
      <c r="F186" t="s">
        <v>123</v>
      </c>
      <c r="G186" s="4" t="str">
        <f>'[2]LAB CIVIL'!B98</f>
        <v>4-05513</v>
      </c>
      <c r="H186" t="str">
        <f>'[2]LAB CIVIL'!C98</f>
        <v>JUEGO DE TAMIZ 8' DE 13 PIEZAS DIFERENTES MEDIDAS DE MALLA COLOR GRIS MARCA MATEST</v>
      </c>
      <c r="I186" s="5" t="str">
        <f>'[2]LAB CIVIL'!D98</f>
        <v>Regular</v>
      </c>
    </row>
    <row r="187" spans="1:9" x14ac:dyDescent="0.25">
      <c r="A187" s="4">
        <f t="shared" si="2"/>
        <v>186</v>
      </c>
      <c r="B187" s="4" t="s">
        <v>12</v>
      </c>
      <c r="C187" t="str">
        <f>'[2]LAB CIVIL'!$C$4</f>
        <v>DIEGO LEONARDO SIMONS LINARES</v>
      </c>
      <c r="E187" t="s">
        <v>13</v>
      </c>
      <c r="F187" t="s">
        <v>123</v>
      </c>
      <c r="G187" s="4" t="str">
        <f>'[2]LAB CIVIL'!B99</f>
        <v>4-05512</v>
      </c>
      <c r="H187" t="str">
        <f>'[2]LAB CIVIL'!C99</f>
        <v>JUEGO DE TAMIZ 8' DE 13 PIEZAS DIFERENTES MEDIDAS DE MALLA COLOR GRIS MARCA MATEST</v>
      </c>
      <c r="I187" s="5" t="str">
        <f>'[2]LAB CIVIL'!D99</f>
        <v>Regular</v>
      </c>
    </row>
    <row r="188" spans="1:9" x14ac:dyDescent="0.25">
      <c r="A188" s="4">
        <f t="shared" si="2"/>
        <v>187</v>
      </c>
      <c r="B188" s="4" t="s">
        <v>12</v>
      </c>
      <c r="C188" t="str">
        <f>'[2]LAB CIVIL'!$C$4</f>
        <v>DIEGO LEONARDO SIMONS LINARES</v>
      </c>
      <c r="E188" t="s">
        <v>13</v>
      </c>
      <c r="F188" t="s">
        <v>123</v>
      </c>
      <c r="G188" s="4" t="str">
        <f>'[2]LAB CIVIL'!B100</f>
        <v>4-05511</v>
      </c>
      <c r="H188" t="str">
        <f>'[2]LAB CIVIL'!C100</f>
        <v>JUEGO DE TAMIZ 8' DE 13 PIEZAS DIFERENTES MEDIDAS DE MALLA COLOR GRIS MARCA MATEST</v>
      </c>
      <c r="I188" s="5" t="str">
        <f>'[2]LAB CIVIL'!D100</f>
        <v>Regular</v>
      </c>
    </row>
    <row r="189" spans="1:9" x14ac:dyDescent="0.25">
      <c r="A189" s="4">
        <f t="shared" si="2"/>
        <v>188</v>
      </c>
      <c r="B189" s="4" t="s">
        <v>12</v>
      </c>
      <c r="C189" t="str">
        <f>'[2]LAB CIVIL'!$C$4</f>
        <v>DIEGO LEONARDO SIMONS LINARES</v>
      </c>
      <c r="E189" t="s">
        <v>13</v>
      </c>
      <c r="F189" t="s">
        <v>123</v>
      </c>
      <c r="G189" s="4" t="str">
        <f>'[2]LAB CIVIL'!B101</f>
        <v>4-05510</v>
      </c>
      <c r="H189" t="str">
        <f>'[2]LAB CIVIL'!C101</f>
        <v>JUEGO DE TAMIZ 8' DE 13 PIEZAS DIFERENTES MEDIDAS DE MALLA COLOR GRIS MARCA MATEST</v>
      </c>
      <c r="I189" s="5" t="str">
        <f>'[2]LAB CIVIL'!D101</f>
        <v>Regular</v>
      </c>
    </row>
    <row r="190" spans="1:9" x14ac:dyDescent="0.25">
      <c r="A190" s="4">
        <f t="shared" si="2"/>
        <v>189</v>
      </c>
      <c r="B190" s="4" t="s">
        <v>12</v>
      </c>
      <c r="C190" t="str">
        <f>'[2]LAB CIVIL'!$C$4</f>
        <v>DIEGO LEONARDO SIMONS LINARES</v>
      </c>
      <c r="E190" t="s">
        <v>13</v>
      </c>
      <c r="F190" t="s">
        <v>123</v>
      </c>
      <c r="G190" s="4" t="str">
        <f>'[2]LAB CIVIL'!B102</f>
        <v>4-05509</v>
      </c>
      <c r="H190" t="str">
        <f>'[2]LAB CIVIL'!C102</f>
        <v>JUEGO DE TAMIZ 8' DE 13 PIEZAS DIFERENTES MEDIDAS DE MALLA COLOR GRIS MARCA MATEST</v>
      </c>
      <c r="I190" s="5" t="str">
        <f>'[2]LAB CIVIL'!D102</f>
        <v>Regular</v>
      </c>
    </row>
    <row r="191" spans="1:9" x14ac:dyDescent="0.25">
      <c r="A191" s="4">
        <f t="shared" si="2"/>
        <v>190</v>
      </c>
      <c r="B191" s="4" t="s">
        <v>12</v>
      </c>
      <c r="C191" t="str">
        <f>'[2]LAB CIVIL'!$C$4</f>
        <v>DIEGO LEONARDO SIMONS LINARES</v>
      </c>
      <c r="E191" t="s">
        <v>13</v>
      </c>
      <c r="F191" t="s">
        <v>123</v>
      </c>
      <c r="G191" s="4" t="str">
        <f>'[2]LAB CIVIL'!B103</f>
        <v>4-05508</v>
      </c>
      <c r="H191" t="str">
        <f>'[2]LAB CIVIL'!C103</f>
        <v>JUEGO DE TAMIZ 8' DE 13 PIEZAS DIFERENTES MEDIDAS DE MALLA COLOR GRIS MARCA MATEST</v>
      </c>
      <c r="I191" s="5" t="str">
        <f>'[2]LAB CIVIL'!D103</f>
        <v>Regular</v>
      </c>
    </row>
    <row r="192" spans="1:9" x14ac:dyDescent="0.25">
      <c r="A192" s="4">
        <f t="shared" si="2"/>
        <v>191</v>
      </c>
      <c r="B192" s="4" t="s">
        <v>12</v>
      </c>
      <c r="C192" t="str">
        <f>'[2]LAB CIVIL'!$C$4</f>
        <v>DIEGO LEONARDO SIMONS LINARES</v>
      </c>
      <c r="E192" t="s">
        <v>13</v>
      </c>
      <c r="F192" t="s">
        <v>123</v>
      </c>
      <c r="G192" s="4" t="str">
        <f>'[2]LAB CIVIL'!B104</f>
        <v>4-05507</v>
      </c>
      <c r="H192" t="str">
        <f>'[2]LAB CIVIL'!C104</f>
        <v>JUEGO DE TAMIZ 8' DE 13 PIEZAS DIFERENTES MEDIDAS DE MALLA COLOR GRIS MARCA MATEST</v>
      </c>
      <c r="I192" s="5" t="str">
        <f>'[2]LAB CIVIL'!D104</f>
        <v>Regular</v>
      </c>
    </row>
    <row r="193" spans="1:9" x14ac:dyDescent="0.25">
      <c r="A193" s="4">
        <f t="shared" si="2"/>
        <v>192</v>
      </c>
      <c r="B193" s="4" t="s">
        <v>12</v>
      </c>
      <c r="C193" t="str">
        <f>'[2]LAB CIVIL'!$C$4</f>
        <v>DIEGO LEONARDO SIMONS LINARES</v>
      </c>
      <c r="E193" t="s">
        <v>13</v>
      </c>
      <c r="F193" t="s">
        <v>123</v>
      </c>
      <c r="G193" s="4">
        <f>'[2]LAB CIVIL'!B105</f>
        <v>5513</v>
      </c>
      <c r="H193" t="str">
        <f>'[2]LAB CIVIL'!C105</f>
        <v>FONDO CON TAPA DE TAMIZ DE 8' DIAM. COLOR COBRE METALICO</v>
      </c>
      <c r="I193" s="5" t="str">
        <f>'[2]LAB CIVIL'!D105</f>
        <v>Regular</v>
      </c>
    </row>
    <row r="194" spans="1:9" x14ac:dyDescent="0.25">
      <c r="A194" s="4">
        <f t="shared" si="2"/>
        <v>193</v>
      </c>
      <c r="B194" s="4" t="s">
        <v>12</v>
      </c>
      <c r="C194" t="str">
        <f>'[2]LAB CIVIL'!$C$4</f>
        <v>DIEGO LEONARDO SIMONS LINARES</v>
      </c>
      <c r="E194" t="s">
        <v>13</v>
      </c>
      <c r="F194" t="s">
        <v>123</v>
      </c>
      <c r="G194" s="4" t="str">
        <f>'[2]LAB CIVIL'!B106</f>
        <v>4-05480</v>
      </c>
      <c r="H194" t="str">
        <f>'[2]LAB CIVIL'!C106</f>
        <v>TAMICES CERTIFICADOS EN BRONCE DE 8' DIAM.40BB8F425940</v>
      </c>
      <c r="I194" s="5" t="str">
        <f>'[2]LAB CIVIL'!D106</f>
        <v>Regular</v>
      </c>
    </row>
    <row r="195" spans="1:9" x14ac:dyDescent="0.25">
      <c r="A195" s="4">
        <f t="shared" si="2"/>
        <v>194</v>
      </c>
      <c r="B195" s="4" t="s">
        <v>12</v>
      </c>
      <c r="C195" t="str">
        <f>'[2]LAB CIVIL'!$C$4</f>
        <v>DIEGO LEONARDO SIMONS LINARES</v>
      </c>
      <c r="E195" t="s">
        <v>13</v>
      </c>
      <c r="F195" t="s">
        <v>123</v>
      </c>
      <c r="G195" s="4" t="str">
        <f>'[2]LAB CIVIL'!B107</f>
        <v>4-05476</v>
      </c>
      <c r="H195" t="str">
        <f>'[2]LAB CIVIL'!C107</f>
        <v>TAMICES CERTIFICADOS EN BRONCE DE 8' DIAM. 8BB8F49735</v>
      </c>
      <c r="I195" s="5" t="str">
        <f>'[2]LAB CIVIL'!D107</f>
        <v>Regular</v>
      </c>
    </row>
    <row r="196" spans="1:9" x14ac:dyDescent="0.25">
      <c r="A196" s="4">
        <f t="shared" ref="A196:A259" si="3">A195+1</f>
        <v>195</v>
      </c>
      <c r="B196" s="4" t="s">
        <v>12</v>
      </c>
      <c r="C196" t="str">
        <f>'[2]LAB CIVIL'!$C$4</f>
        <v>DIEGO LEONARDO SIMONS LINARES</v>
      </c>
      <c r="E196" t="s">
        <v>13</v>
      </c>
      <c r="F196" t="s">
        <v>123</v>
      </c>
      <c r="G196" s="4" t="str">
        <f>'[2]LAB CIVIL'!B108</f>
        <v>4-05459</v>
      </c>
      <c r="H196" t="str">
        <f>'[2]LAB CIVIL'!C108</f>
        <v>TAMICES CERTIFICADOS EN BRONCE DE 8' DIAM. 8BB8F429743</v>
      </c>
      <c r="I196" s="5" t="str">
        <f>'[2]LAB CIVIL'!D108</f>
        <v>Regular</v>
      </c>
    </row>
    <row r="197" spans="1:9" x14ac:dyDescent="0.25">
      <c r="A197" s="4">
        <f t="shared" si="3"/>
        <v>196</v>
      </c>
      <c r="B197" s="4" t="s">
        <v>12</v>
      </c>
      <c r="C197" t="str">
        <f>'[2]LAB CIVIL'!$C$4</f>
        <v>DIEGO LEONARDO SIMONS LINARES</v>
      </c>
      <c r="E197" t="s">
        <v>13</v>
      </c>
      <c r="F197" t="s">
        <v>123</v>
      </c>
      <c r="G197" s="4" t="str">
        <f>'[2]LAB CIVIL'!B109</f>
        <v>4-05481</v>
      </c>
      <c r="H197" t="str">
        <f>'[2]LAB CIVIL'!C109</f>
        <v>TAMICES CERTIFICADOS EN BRONCE DE 8' DIAM. 50BB8F426799</v>
      </c>
      <c r="I197" s="5" t="str">
        <f>'[2]LAB CIVIL'!D109</f>
        <v>Regular</v>
      </c>
    </row>
    <row r="198" spans="1:9" x14ac:dyDescent="0.25">
      <c r="A198" s="4">
        <f t="shared" si="3"/>
        <v>197</v>
      </c>
      <c r="B198" s="4" t="s">
        <v>12</v>
      </c>
      <c r="C198" t="str">
        <f>'[2]LAB CIVIL'!$C$4</f>
        <v>DIEGO LEONARDO SIMONS LINARES</v>
      </c>
      <c r="E198" t="s">
        <v>13</v>
      </c>
      <c r="F198" t="s">
        <v>123</v>
      </c>
      <c r="G198" s="4" t="str">
        <f>'[2]LAB CIVIL'!B110</f>
        <v>4-05464</v>
      </c>
      <c r="H198" t="str">
        <f>'[2]LAB CIVIL'!C110</f>
        <v>TAMICES CERTIFICADOS EN BRONCE DE 8' DIAM. 50BB8F426798</v>
      </c>
      <c r="I198" s="5" t="str">
        <f>'[2]LAB CIVIL'!D110</f>
        <v>Regular</v>
      </c>
    </row>
    <row r="199" spans="1:9" x14ac:dyDescent="0.25">
      <c r="A199" s="4">
        <f t="shared" si="3"/>
        <v>198</v>
      </c>
      <c r="B199" s="4" t="s">
        <v>12</v>
      </c>
      <c r="C199" t="str">
        <f>'[2]LAB CIVIL'!$C$4</f>
        <v>DIEGO LEONARDO SIMONS LINARES</v>
      </c>
      <c r="E199" t="s">
        <v>13</v>
      </c>
      <c r="F199" t="s">
        <v>123</v>
      </c>
      <c r="G199" s="4" t="str">
        <f>'[2]LAB CIVIL'!B111</f>
        <v>4-05458</v>
      </c>
      <c r="H199" t="str">
        <f>'[2]LAB CIVIL'!C111</f>
        <v>TAMICES CERTIFICADOS EN BRONCE DE 8' DIAM. 4BS8F430019</v>
      </c>
      <c r="I199" s="5" t="str">
        <f>'[2]LAB CIVIL'!D111</f>
        <v>Regular</v>
      </c>
    </row>
    <row r="200" spans="1:9" x14ac:dyDescent="0.25">
      <c r="A200" s="4">
        <f t="shared" si="3"/>
        <v>199</v>
      </c>
      <c r="B200" s="4" t="s">
        <v>12</v>
      </c>
      <c r="C200" t="str">
        <f>'[2]LAB CIVIL'!$C$4</f>
        <v>DIEGO LEONARDO SIMONS LINARES</v>
      </c>
      <c r="E200" t="s">
        <v>13</v>
      </c>
      <c r="F200" t="s">
        <v>123</v>
      </c>
      <c r="G200" s="4" t="str">
        <f>'[2]LAB CIVIL'!B112</f>
        <v>4-05495</v>
      </c>
      <c r="H200" t="str">
        <f>'[2]LAB CIVIL'!C112</f>
        <v>TAMICES CERTIFICADOS EN BRONCE DE 8' DIAM. 4BB8F430020</v>
      </c>
      <c r="I200" s="5" t="str">
        <f>'[2]LAB CIVIL'!D112</f>
        <v>Regular</v>
      </c>
    </row>
    <row r="201" spans="1:9" x14ac:dyDescent="0.25">
      <c r="A201" s="4">
        <f t="shared" si="3"/>
        <v>200</v>
      </c>
      <c r="B201" s="4" t="s">
        <v>12</v>
      </c>
      <c r="C201" t="str">
        <f>'[2]LAB CIVIL'!$C$4</f>
        <v>DIEGO LEONARDO SIMONS LINARES</v>
      </c>
      <c r="E201" t="s">
        <v>13</v>
      </c>
      <c r="F201" t="s">
        <v>123</v>
      </c>
      <c r="G201" s="4" t="str">
        <f>'[2]LAB CIVIL'!B113</f>
        <v>4-05463</v>
      </c>
      <c r="H201" t="str">
        <f>'[2]LAB CIVIL'!C113</f>
        <v>TAMICES CERTIFICADOS EN BRONCE DE 8' DIAM. 40BB8F425939</v>
      </c>
      <c r="I201" s="5" t="str">
        <f>'[2]LAB CIVIL'!D113</f>
        <v>Regular</v>
      </c>
    </row>
    <row r="202" spans="1:9" x14ac:dyDescent="0.25">
      <c r="A202" s="4">
        <f t="shared" si="3"/>
        <v>201</v>
      </c>
      <c r="B202" s="4" t="s">
        <v>12</v>
      </c>
      <c r="C202" t="str">
        <f>'[2]LAB CIVIL'!$C$4</f>
        <v>DIEGO LEONARDO SIMONS LINARES</v>
      </c>
      <c r="E202" t="s">
        <v>13</v>
      </c>
      <c r="F202" t="s">
        <v>123</v>
      </c>
      <c r="G202" s="4" t="str">
        <f>'[2]LAB CIVIL'!B114</f>
        <v>4-05449</v>
      </c>
      <c r="H202" t="str">
        <f>'[2]LAB CIVIL'!C114</f>
        <v>TAMICES CERTIFICADOS EN BRONCE DE 8' DIAM. 3BS8F427369</v>
      </c>
      <c r="I202" s="5" t="str">
        <f>'[2]LAB CIVIL'!D114</f>
        <v>Regular</v>
      </c>
    </row>
    <row r="203" spans="1:9" x14ac:dyDescent="0.25">
      <c r="A203" s="4">
        <f t="shared" si="3"/>
        <v>202</v>
      </c>
      <c r="B203" s="4" t="s">
        <v>12</v>
      </c>
      <c r="C203" t="str">
        <f>'[2]LAB CIVIL'!$C$4</f>
        <v>DIEGO LEONARDO SIMONS LINARES</v>
      </c>
      <c r="E203" t="s">
        <v>13</v>
      </c>
      <c r="F203" t="s">
        <v>123</v>
      </c>
      <c r="G203" s="4" t="str">
        <f>'[2]LAB CIVIL'!B115</f>
        <v>4-05466</v>
      </c>
      <c r="H203" t="str">
        <f>'[2]LAB CIVIL'!C115</f>
        <v>TAMICES CERTIFICADOS EN BRONCE DE 8' DIAM. 3BS8F427368</v>
      </c>
      <c r="I203" s="5" t="str">
        <f>'[2]LAB CIVIL'!D115</f>
        <v>Regular</v>
      </c>
    </row>
    <row r="204" spans="1:9" x14ac:dyDescent="0.25">
      <c r="A204" s="4">
        <f t="shared" si="3"/>
        <v>203</v>
      </c>
      <c r="B204" s="4" t="s">
        <v>12</v>
      </c>
      <c r="C204" t="str">
        <f>'[2]LAB CIVIL'!$C$4</f>
        <v>DIEGO LEONARDO SIMONS LINARES</v>
      </c>
      <c r="E204" t="s">
        <v>13</v>
      </c>
      <c r="F204" t="s">
        <v>123</v>
      </c>
      <c r="G204" s="4" t="str">
        <f>'[2]LAB CIVIL'!B116</f>
        <v>4-05479</v>
      </c>
      <c r="H204" t="str">
        <f>'[2]LAB CIVIL'!C116</f>
        <v>TAMICES CERTIFICADOS EN BRONCE DE 8' DIAM. 30BB8F430490</v>
      </c>
      <c r="I204" s="5" t="str">
        <f>'[2]LAB CIVIL'!D116</f>
        <v>Regular</v>
      </c>
    </row>
    <row r="205" spans="1:9" x14ac:dyDescent="0.25">
      <c r="A205" s="4">
        <f t="shared" si="3"/>
        <v>204</v>
      </c>
      <c r="B205" s="4" t="s">
        <v>12</v>
      </c>
      <c r="C205" t="str">
        <f>'[2]LAB CIVIL'!$C$4</f>
        <v>DIEGO LEONARDO SIMONS LINARES</v>
      </c>
      <c r="E205" t="s">
        <v>13</v>
      </c>
      <c r="F205" t="s">
        <v>123</v>
      </c>
      <c r="G205" s="4" t="str">
        <f>'[2]LAB CIVIL'!B117</f>
        <v>4-05462</v>
      </c>
      <c r="H205" t="str">
        <f>'[2]LAB CIVIL'!C117</f>
        <v>TAMICES CERTIFICADOS EN BRONCE DE 8' DIAM. 30BB8F430487</v>
      </c>
      <c r="I205" s="5" t="str">
        <f>'[2]LAB CIVIL'!D117</f>
        <v>Regular</v>
      </c>
    </row>
    <row r="206" spans="1:9" x14ac:dyDescent="0.25">
      <c r="A206" s="4">
        <f t="shared" si="3"/>
        <v>205</v>
      </c>
      <c r="B206" s="4" t="s">
        <v>12</v>
      </c>
      <c r="C206" t="str">
        <f>'[2]LAB CIVIL'!$C$4</f>
        <v>DIEGO LEONARDO SIMONS LINARES</v>
      </c>
      <c r="E206" t="s">
        <v>13</v>
      </c>
      <c r="F206" t="s">
        <v>123</v>
      </c>
      <c r="G206" s="4" t="str">
        <f>'[2]LAB CIVIL'!B118</f>
        <v>4-05475</v>
      </c>
      <c r="H206" t="str">
        <f>'[2]LAB CIVIL'!C118</f>
        <v>TAMICES CERTIFICADOS EN BRONCE DE 8' DIAM. 3/8 BS8F429154</v>
      </c>
      <c r="I206" s="5" t="str">
        <f>'[2]LAB CIVIL'!D118</f>
        <v>Regular</v>
      </c>
    </row>
    <row r="207" spans="1:9" x14ac:dyDescent="0.25">
      <c r="A207" s="4">
        <f t="shared" si="3"/>
        <v>206</v>
      </c>
      <c r="B207" s="4" t="s">
        <v>12</v>
      </c>
      <c r="C207" t="str">
        <f>'[2]LAB CIVIL'!$C$4</f>
        <v>DIEGO LEONARDO SIMONS LINARES</v>
      </c>
      <c r="E207" t="s">
        <v>13</v>
      </c>
      <c r="F207" t="s">
        <v>123</v>
      </c>
      <c r="G207" s="4" t="str">
        <f>'[2]LAB CIVIL'!B119</f>
        <v>4-05473</v>
      </c>
      <c r="H207" t="str">
        <f>'[2]LAB CIVIL'!C119</f>
        <v>TAMICES CERTIFICADOS EN BRONCE DE 8' DIAM. 3/8 B58F429155</v>
      </c>
      <c r="I207" s="5" t="str">
        <f>'[2]LAB CIVIL'!D119</f>
        <v>Regular</v>
      </c>
    </row>
    <row r="208" spans="1:9" x14ac:dyDescent="0.25">
      <c r="A208" s="4">
        <f t="shared" si="3"/>
        <v>207</v>
      </c>
      <c r="B208" s="4" t="s">
        <v>12</v>
      </c>
      <c r="C208" t="str">
        <f>'[2]LAB CIVIL'!$C$4</f>
        <v>DIEGO LEONARDO SIMONS LINARES</v>
      </c>
      <c r="E208" t="s">
        <v>13</v>
      </c>
      <c r="F208" t="s">
        <v>123</v>
      </c>
      <c r="G208" s="4" t="str">
        <f>'[2]LAB CIVIL'!B120</f>
        <v>4-05471</v>
      </c>
      <c r="H208" t="str">
        <f>'[2]LAB CIVIL'!C120</f>
        <v>TAMICES CERTIFICADOS EN BRONCE DE 8' DIAM. 3/4 BS8F430182</v>
      </c>
      <c r="I208" s="5" t="str">
        <f>'[2]LAB CIVIL'!D120</f>
        <v>Regular</v>
      </c>
    </row>
    <row r="209" spans="1:9" x14ac:dyDescent="0.25">
      <c r="A209" s="4">
        <f t="shared" si="3"/>
        <v>208</v>
      </c>
      <c r="B209" s="4" t="s">
        <v>12</v>
      </c>
      <c r="C209" t="str">
        <f>'[2]LAB CIVIL'!$C$4</f>
        <v>DIEGO LEONARDO SIMONS LINARES</v>
      </c>
      <c r="E209" t="s">
        <v>13</v>
      </c>
      <c r="F209" t="s">
        <v>123</v>
      </c>
      <c r="G209" s="4" t="str">
        <f>'[2]LAB CIVIL'!B121</f>
        <v>4-05454</v>
      </c>
      <c r="H209" t="str">
        <f>'[2]LAB CIVIL'!C121</f>
        <v>TAMICES CERTIFICADOS EN BRONCE DE 8' DIAM. 3/4 B58F430181</v>
      </c>
      <c r="I209" s="5" t="str">
        <f>'[2]LAB CIVIL'!D121</f>
        <v>Regular</v>
      </c>
    </row>
    <row r="210" spans="1:9" x14ac:dyDescent="0.25">
      <c r="A210" s="4">
        <f t="shared" si="3"/>
        <v>209</v>
      </c>
      <c r="B210" s="4" t="s">
        <v>12</v>
      </c>
      <c r="C210" t="str">
        <f>'[2]LAB CIVIL'!$C$4</f>
        <v>DIEGO LEONARDO SIMONS LINARES</v>
      </c>
      <c r="E210" t="s">
        <v>13</v>
      </c>
      <c r="F210" t="s">
        <v>123</v>
      </c>
      <c r="G210" s="4" t="str">
        <f>'[2]LAB CIVIL'!B122</f>
        <v>4-05468</v>
      </c>
      <c r="H210" t="str">
        <f>'[2]LAB CIVIL'!C122</f>
        <v>TAMICES CERTIFICADOS EN BRONCE DE 8' DIAM. 2BS 8F428164</v>
      </c>
      <c r="I210" s="5" t="str">
        <f>'[2]LAB CIVIL'!D122</f>
        <v>Regular</v>
      </c>
    </row>
    <row r="211" spans="1:9" x14ac:dyDescent="0.25">
      <c r="A211" s="4">
        <f t="shared" si="3"/>
        <v>210</v>
      </c>
      <c r="B211" s="4" t="s">
        <v>12</v>
      </c>
      <c r="C211" t="str">
        <f>'[2]LAB CIVIL'!$C$4</f>
        <v>DIEGO LEONARDO SIMONS LINARES</v>
      </c>
      <c r="E211" t="s">
        <v>13</v>
      </c>
      <c r="F211" t="s">
        <v>123</v>
      </c>
      <c r="G211" s="4" t="str">
        <f>'[2]LAB CIVIL'!B123</f>
        <v>4-05450</v>
      </c>
      <c r="H211" t="str">
        <f>'[2]LAB CIVIL'!C123</f>
        <v>TAMICES CERTIFICADOS EN BRONCE DE 8' DIAM. 2.5 BS8F423535</v>
      </c>
      <c r="I211" s="5" t="str">
        <f>'[2]LAB CIVIL'!D123</f>
        <v>Regular</v>
      </c>
    </row>
    <row r="212" spans="1:9" x14ac:dyDescent="0.25">
      <c r="A212" s="4">
        <f t="shared" si="3"/>
        <v>211</v>
      </c>
      <c r="B212" s="4" t="s">
        <v>12</v>
      </c>
      <c r="C212" t="str">
        <f>'[2]LAB CIVIL'!$C$4</f>
        <v>DIEGO LEONARDO SIMONS LINARES</v>
      </c>
      <c r="E212" t="s">
        <v>13</v>
      </c>
      <c r="F212" t="s">
        <v>123</v>
      </c>
      <c r="G212" s="4" t="str">
        <f>'[2]LAB CIVIL'!B124</f>
        <v>4-05467</v>
      </c>
      <c r="H212" t="str">
        <f>'[2]LAB CIVIL'!C124</f>
        <v>TAMICES CERTIFICADOS EN BRONCE DE 8' DIAM. 2.5 BS8F411643</v>
      </c>
      <c r="I212" s="5" t="str">
        <f>'[2]LAB CIVIL'!D124</f>
        <v>Regular</v>
      </c>
    </row>
    <row r="213" spans="1:9" x14ac:dyDescent="0.25">
      <c r="A213" s="4">
        <f t="shared" si="3"/>
        <v>212</v>
      </c>
      <c r="B213" s="4" t="s">
        <v>12</v>
      </c>
      <c r="C213" t="str">
        <f>'[2]LAB CIVIL'!$C$4</f>
        <v>DIEGO LEONARDO SIMONS LINARES</v>
      </c>
      <c r="E213" t="s">
        <v>13</v>
      </c>
      <c r="F213" t="s">
        <v>123</v>
      </c>
      <c r="G213" s="4" t="str">
        <f>'[2]LAB CIVIL'!B125</f>
        <v>4-05451</v>
      </c>
      <c r="H213" t="str">
        <f>'[2]LAB CIVIL'!C125</f>
        <v>TAMICES CERTIFICADOS EN BRONCE DE 8' DIAM. 2 BS8F428165</v>
      </c>
      <c r="I213" s="5" t="str">
        <f>'[2]LAB CIVIL'!D125</f>
        <v>Regular</v>
      </c>
    </row>
    <row r="214" spans="1:9" x14ac:dyDescent="0.25">
      <c r="A214" s="4">
        <f t="shared" si="3"/>
        <v>213</v>
      </c>
      <c r="B214" s="4" t="s">
        <v>12</v>
      </c>
      <c r="C214" t="str">
        <f>'[2]LAB CIVIL'!$C$4</f>
        <v>DIEGO LEONARDO SIMONS LINARES</v>
      </c>
      <c r="E214" t="s">
        <v>13</v>
      </c>
      <c r="F214" t="s">
        <v>123</v>
      </c>
      <c r="G214" s="4" t="str">
        <f>'[2]LAB CIVIL'!B126</f>
        <v>4-05461</v>
      </c>
      <c r="H214" t="str">
        <f>'[2]LAB CIVIL'!C126</f>
        <v>TAMICES CERTIFICADOS EN BRONCE DE 8' DIAM. 16BB8F426958</v>
      </c>
      <c r="I214" s="5" t="str">
        <f>'[2]LAB CIVIL'!D126</f>
        <v>Regular</v>
      </c>
    </row>
    <row r="215" spans="1:9" x14ac:dyDescent="0.25">
      <c r="A215" s="4">
        <f t="shared" si="3"/>
        <v>214</v>
      </c>
      <c r="B215" s="4" t="s">
        <v>12</v>
      </c>
      <c r="C215" t="str">
        <f>'[2]LAB CIVIL'!$C$4</f>
        <v>DIEGO LEONARDO SIMONS LINARES</v>
      </c>
      <c r="E215" t="s">
        <v>13</v>
      </c>
      <c r="F215" t="s">
        <v>123</v>
      </c>
      <c r="G215" s="4" t="str">
        <f>'[2]LAB CIVIL'!B127</f>
        <v>4-05478</v>
      </c>
      <c r="H215" t="str">
        <f>'[2]LAB CIVIL'!C127</f>
        <v>TAMICES CERTIFICADOS EN BRONCE DE 8' DIAM. 16BB8F426956</v>
      </c>
      <c r="I215" s="5" t="str">
        <f>'[2]LAB CIVIL'!D127</f>
        <v>Regular</v>
      </c>
    </row>
    <row r="216" spans="1:9" x14ac:dyDescent="0.25">
      <c r="A216" s="4">
        <f t="shared" si="3"/>
        <v>215</v>
      </c>
      <c r="B216" s="4" t="s">
        <v>12</v>
      </c>
      <c r="C216" t="str">
        <f>'[2]LAB CIVIL'!$C$4</f>
        <v>DIEGO LEONARDO SIMONS LINARES</v>
      </c>
      <c r="E216" t="s">
        <v>13</v>
      </c>
      <c r="F216" t="s">
        <v>123</v>
      </c>
      <c r="G216" s="4" t="str">
        <f>'[2]LAB CIVIL'!B128</f>
        <v>4-05477</v>
      </c>
      <c r="H216" t="str">
        <f>'[2]LAB CIVIL'!C128</f>
        <v>TAMICES CERTIFICADOS EN BRONCE DE 8' DIAM. 10BB8F426977</v>
      </c>
      <c r="I216" s="5" t="str">
        <f>'[2]LAB CIVIL'!D128</f>
        <v>Regular</v>
      </c>
    </row>
    <row r="217" spans="1:9" x14ac:dyDescent="0.25">
      <c r="A217" s="4">
        <f t="shared" si="3"/>
        <v>216</v>
      </c>
      <c r="B217" s="4" t="s">
        <v>12</v>
      </c>
      <c r="C217" t="str">
        <f>'[2]LAB CIVIL'!$C$4</f>
        <v>DIEGO LEONARDO SIMONS LINARES</v>
      </c>
      <c r="E217" t="s">
        <v>13</v>
      </c>
      <c r="F217" t="s">
        <v>123</v>
      </c>
      <c r="G217" s="4" t="str">
        <f>'[2]LAB CIVIL'!B129</f>
        <v>4-05460</v>
      </c>
      <c r="H217" t="str">
        <f>'[2]LAB CIVIL'!C129</f>
        <v>TAMICES CERTIFICADOS EN BRONCE DE 8' DIAM. 10BB8F426973</v>
      </c>
      <c r="I217" s="5" t="str">
        <f>'[2]LAB CIVIL'!D129</f>
        <v>Regular</v>
      </c>
    </row>
    <row r="218" spans="1:9" x14ac:dyDescent="0.25">
      <c r="A218" s="4">
        <f t="shared" si="3"/>
        <v>217</v>
      </c>
      <c r="B218" s="4" t="s">
        <v>12</v>
      </c>
      <c r="C218" t="str">
        <f>'[2]LAB CIVIL'!$C$4</f>
        <v>DIEGO LEONARDO SIMONS LINARES</v>
      </c>
      <c r="E218" t="s">
        <v>13</v>
      </c>
      <c r="F218" t="s">
        <v>123</v>
      </c>
      <c r="G218" s="4" t="str">
        <f>'[2]LAB CIVIL'!B130</f>
        <v>4-05482</v>
      </c>
      <c r="H218" t="str">
        <f>'[2]LAB CIVIL'!C130</f>
        <v>TAMICES CERTIFICADOS EN BRONCE DE 8' DIAM. 100BB8F430750</v>
      </c>
      <c r="I218" s="5" t="str">
        <f>'[2]LAB CIVIL'!D130</f>
        <v>Regular</v>
      </c>
    </row>
    <row r="219" spans="1:9" x14ac:dyDescent="0.25">
      <c r="A219" s="4">
        <f t="shared" si="3"/>
        <v>218</v>
      </c>
      <c r="B219" s="4" t="s">
        <v>12</v>
      </c>
      <c r="C219" t="str">
        <f>'[2]LAB CIVIL'!$C$4</f>
        <v>DIEGO LEONARDO SIMONS LINARES</v>
      </c>
      <c r="E219" t="s">
        <v>13</v>
      </c>
      <c r="F219" t="s">
        <v>123</v>
      </c>
      <c r="G219" s="4" t="str">
        <f>'[2]LAB CIVIL'!B131</f>
        <v>4-05465</v>
      </c>
      <c r="H219" t="str">
        <f>'[2]LAB CIVIL'!C131</f>
        <v>TAMICES CERTIFICADOS EN BRONCE DE 8' DIAM. 100BB8F430749</v>
      </c>
      <c r="I219" s="5" t="str">
        <f>'[2]LAB CIVIL'!D131</f>
        <v>Regular</v>
      </c>
    </row>
    <row r="220" spans="1:9" x14ac:dyDescent="0.25">
      <c r="A220" s="4">
        <f t="shared" si="3"/>
        <v>219</v>
      </c>
      <c r="B220" s="4" t="s">
        <v>12</v>
      </c>
      <c r="C220" t="str">
        <f>'[2]LAB CIVIL'!$C$4</f>
        <v>DIEGO LEONARDO SIMONS LINARES</v>
      </c>
      <c r="E220" t="s">
        <v>13</v>
      </c>
      <c r="F220" t="s">
        <v>123</v>
      </c>
      <c r="G220" s="4" t="str">
        <f>'[2]LAB CIVIL'!B132</f>
        <v>4-05474</v>
      </c>
      <c r="H220" t="str">
        <f>'[2]LAB CIVIL'!C132</f>
        <v>TAMICES CERTIFICADOS EN BRONCE DE 8' DIAM. 1/4B58F422617</v>
      </c>
      <c r="I220" s="5" t="str">
        <f>'[2]LAB CIVIL'!D132</f>
        <v>Regular</v>
      </c>
    </row>
    <row r="221" spans="1:9" x14ac:dyDescent="0.25">
      <c r="A221" s="4">
        <f t="shared" si="3"/>
        <v>220</v>
      </c>
      <c r="B221" s="4" t="s">
        <v>12</v>
      </c>
      <c r="C221" t="str">
        <f>'[2]LAB CIVIL'!$C$4</f>
        <v>DIEGO LEONARDO SIMONS LINARES</v>
      </c>
      <c r="E221" t="s">
        <v>13</v>
      </c>
      <c r="F221" t="s">
        <v>123</v>
      </c>
      <c r="G221" s="4" t="str">
        <f>'[2]LAB CIVIL'!B133</f>
        <v>4-05457</v>
      </c>
      <c r="H221" t="str">
        <f>'[2]LAB CIVIL'!C133</f>
        <v>TAMICES CERTIFICADOS EN BRONCE DE 8' DIAM. 1/4 BS8F422618</v>
      </c>
      <c r="I221" s="5" t="str">
        <f>'[2]LAB CIVIL'!D133</f>
        <v>Regular</v>
      </c>
    </row>
    <row r="222" spans="1:9" x14ac:dyDescent="0.25">
      <c r="A222" s="4">
        <f t="shared" si="3"/>
        <v>221</v>
      </c>
      <c r="B222" s="4" t="s">
        <v>12</v>
      </c>
      <c r="C222" t="str">
        <f>'[2]LAB CIVIL'!$C$4</f>
        <v>DIEGO LEONARDO SIMONS LINARES</v>
      </c>
      <c r="E222" t="s">
        <v>13</v>
      </c>
      <c r="F222" t="s">
        <v>123</v>
      </c>
      <c r="G222" s="4" t="str">
        <f>'[2]LAB CIVIL'!B134</f>
        <v>4-05472</v>
      </c>
      <c r="H222" t="str">
        <f>'[2]LAB CIVIL'!C134</f>
        <v>TAMICES CERTIFICADOS EN BRONCE DE 8' DIAM. 1/2 BS8F430332</v>
      </c>
      <c r="I222" s="5" t="str">
        <f>'[2]LAB CIVIL'!D134</f>
        <v>Regular</v>
      </c>
    </row>
    <row r="223" spans="1:9" x14ac:dyDescent="0.25">
      <c r="A223" s="4">
        <f t="shared" si="3"/>
        <v>222</v>
      </c>
      <c r="B223" s="4" t="s">
        <v>12</v>
      </c>
      <c r="C223" t="str">
        <f>'[2]LAB CIVIL'!$C$4</f>
        <v>DIEGO LEONARDO SIMONS LINARES</v>
      </c>
      <c r="E223" t="s">
        <v>13</v>
      </c>
      <c r="F223" t="s">
        <v>123</v>
      </c>
      <c r="G223" s="4" t="str">
        <f>'[2]LAB CIVIL'!B135</f>
        <v>4-05455</v>
      </c>
      <c r="H223" t="str">
        <f>'[2]LAB CIVIL'!C135</f>
        <v>TAMICES CERTIFICADOS EN BRONCE DE 8' DIAM. 1/2 B58F430333</v>
      </c>
      <c r="I223" s="5" t="str">
        <f>'[2]LAB CIVIL'!D135</f>
        <v>Regular</v>
      </c>
    </row>
    <row r="224" spans="1:9" x14ac:dyDescent="0.25">
      <c r="A224" s="4">
        <f t="shared" si="3"/>
        <v>223</v>
      </c>
      <c r="B224" s="4" t="s">
        <v>12</v>
      </c>
      <c r="C224" t="str">
        <f>'[2]LAB CIVIL'!$C$4</f>
        <v>DIEGO LEONARDO SIMONS LINARES</v>
      </c>
      <c r="E224" t="s">
        <v>13</v>
      </c>
      <c r="F224" t="s">
        <v>123</v>
      </c>
      <c r="G224" s="4" t="str">
        <f>'[2]LAB CIVIL'!B136</f>
        <v>4-05469</v>
      </c>
      <c r="H224" t="str">
        <f>'[2]LAB CIVIL'!C136</f>
        <v>TAMICES CERTIFICADOS EN BRONCE DE 8' DIAM. 1.5BS8F427525</v>
      </c>
      <c r="I224" s="5" t="str">
        <f>'[2]LAB CIVIL'!D136</f>
        <v>Regular</v>
      </c>
    </row>
    <row r="225" spans="1:9" x14ac:dyDescent="0.25">
      <c r="A225" s="4">
        <f t="shared" si="3"/>
        <v>224</v>
      </c>
      <c r="B225" s="4" t="s">
        <v>12</v>
      </c>
      <c r="C225" t="str">
        <f>'[2]LAB CIVIL'!$C$4</f>
        <v>DIEGO LEONARDO SIMONS LINARES</v>
      </c>
      <c r="E225" t="s">
        <v>13</v>
      </c>
      <c r="F225" t="s">
        <v>123</v>
      </c>
      <c r="G225" s="4" t="str">
        <f>'[2]LAB CIVIL'!B137</f>
        <v>4-05452</v>
      </c>
      <c r="H225" t="str">
        <f>'[2]LAB CIVIL'!C137</f>
        <v>TAMICES CERTIFICADOS EN BRONCE DE 8' DIAM. 1.5 BS8F427526</v>
      </c>
      <c r="I225" s="5" t="str">
        <f>'[2]LAB CIVIL'!D137</f>
        <v>Regular</v>
      </c>
    </row>
    <row r="226" spans="1:9" x14ac:dyDescent="0.25">
      <c r="A226" s="4">
        <f t="shared" si="3"/>
        <v>225</v>
      </c>
      <c r="B226" s="4" t="s">
        <v>12</v>
      </c>
      <c r="C226" t="str">
        <f>'[2]LAB CIVIL'!$C$4</f>
        <v>DIEGO LEONARDO SIMONS LINARES</v>
      </c>
      <c r="E226" t="s">
        <v>13</v>
      </c>
      <c r="F226" t="s">
        <v>123</v>
      </c>
      <c r="G226" s="4" t="str">
        <f>'[2]LAB CIVIL'!B138</f>
        <v>4-05453</v>
      </c>
      <c r="H226" t="str">
        <f>'[2]LAB CIVIL'!C138</f>
        <v>TAMICES CERTIFICADOS EN BRONCE DE 8' DIAM. 1.00 BS8F427517</v>
      </c>
      <c r="I226" s="5" t="str">
        <f>'[2]LAB CIVIL'!D138</f>
        <v>Regular</v>
      </c>
    </row>
    <row r="227" spans="1:9" x14ac:dyDescent="0.25">
      <c r="A227" s="4">
        <f t="shared" si="3"/>
        <v>226</v>
      </c>
      <c r="B227" s="4" t="s">
        <v>12</v>
      </c>
      <c r="C227" t="str">
        <f>'[2]LAB CIVIL'!$C$4</f>
        <v>DIEGO LEONARDO SIMONS LINARES</v>
      </c>
      <c r="E227" t="s">
        <v>13</v>
      </c>
      <c r="F227" t="s">
        <v>123</v>
      </c>
      <c r="G227" s="4" t="str">
        <f>'[2]LAB CIVIL'!B139</f>
        <v>4-05470</v>
      </c>
      <c r="H227" t="str">
        <f>'[2]LAB CIVIL'!C139</f>
        <v>TAMICES CERTIFICADOS EN BRONCE DE 8' DIAM. 1.00 B58F427521</v>
      </c>
      <c r="I227" s="5" t="str">
        <f>'[2]LAB CIVIL'!D139</f>
        <v>Regular</v>
      </c>
    </row>
    <row r="228" spans="1:9" x14ac:dyDescent="0.25">
      <c r="A228" s="4">
        <f t="shared" si="3"/>
        <v>227</v>
      </c>
      <c r="B228" s="4" t="s">
        <v>12</v>
      </c>
      <c r="C228" t="str">
        <f>'[2]LAB CIVIL'!$C$4</f>
        <v>DIEGO LEONARDO SIMONS LINARES</v>
      </c>
      <c r="E228" t="s">
        <v>13</v>
      </c>
      <c r="F228" t="s">
        <v>123</v>
      </c>
      <c r="G228" s="4" t="str">
        <f>'[2]LAB CIVIL'!B140</f>
        <v>4-05505</v>
      </c>
      <c r="H228" t="str">
        <f>'[2]LAB CIVIL'!C140</f>
        <v>TAMIZ PARA ASFALTO DE ACERO INOXIDABLE DE 8'</v>
      </c>
      <c r="I228" s="5" t="str">
        <f>'[2]LAB CIVIL'!D140</f>
        <v>Regular</v>
      </c>
    </row>
    <row r="229" spans="1:9" x14ac:dyDescent="0.25">
      <c r="A229" s="4">
        <f t="shared" si="3"/>
        <v>228</v>
      </c>
      <c r="B229" s="4" t="s">
        <v>12</v>
      </c>
      <c r="C229" t="str">
        <f>'[2]LAB CIVIL'!$C$4</f>
        <v>DIEGO LEONARDO SIMONS LINARES</v>
      </c>
      <c r="E229" t="s">
        <v>13</v>
      </c>
      <c r="F229" t="s">
        <v>123</v>
      </c>
      <c r="G229" s="4" t="str">
        <f>'[2]LAB CIVIL'!B141</f>
        <v>4-05504</v>
      </c>
      <c r="H229" t="str">
        <f>'[2]LAB CIVIL'!C141</f>
        <v>TAMIZ PARA ASFALTO DE ACERO INOXIDABLE DE 8'</v>
      </c>
      <c r="I229" s="5" t="str">
        <f>'[2]LAB CIVIL'!D141</f>
        <v>Regular</v>
      </c>
    </row>
    <row r="230" spans="1:9" x14ac:dyDescent="0.25">
      <c r="A230" s="4">
        <f t="shared" si="3"/>
        <v>229</v>
      </c>
      <c r="B230" s="4" t="s">
        <v>12</v>
      </c>
      <c r="C230" t="str">
        <f>'[2]LAB CIVIL'!$C$4</f>
        <v>DIEGO LEONARDO SIMONS LINARES</v>
      </c>
      <c r="E230" t="s">
        <v>13</v>
      </c>
      <c r="F230" t="s">
        <v>123</v>
      </c>
      <c r="G230" s="4" t="str">
        <f>'[2]LAB CIVIL'!B142</f>
        <v>4-05503</v>
      </c>
      <c r="H230" t="str">
        <f>'[2]LAB CIVIL'!C142</f>
        <v>TAMIZ PARA ASFALTO DE ACERO INOXIDABLE DE 8'</v>
      </c>
      <c r="I230" s="5" t="str">
        <f>'[2]LAB CIVIL'!D142</f>
        <v>Regular</v>
      </c>
    </row>
    <row r="231" spans="1:9" x14ac:dyDescent="0.25">
      <c r="A231" s="4">
        <f t="shared" si="3"/>
        <v>230</v>
      </c>
      <c r="B231" s="4" t="s">
        <v>12</v>
      </c>
      <c r="C231" t="str">
        <f>'[2]LAB CIVIL'!$C$4</f>
        <v>DIEGO LEONARDO SIMONS LINARES</v>
      </c>
      <c r="E231" t="s">
        <v>13</v>
      </c>
      <c r="F231" t="s">
        <v>123</v>
      </c>
      <c r="G231" s="4" t="str">
        <f>'[2]LAB CIVIL'!B143</f>
        <v>4-05502</v>
      </c>
      <c r="H231" t="str">
        <f>'[2]LAB CIVIL'!C143</f>
        <v>TAMIZ PARA ASFALTO DE ACERO INOXIDABLE DE 8'</v>
      </c>
      <c r="I231" s="5" t="str">
        <f>'[2]LAB CIVIL'!D143</f>
        <v>Regular</v>
      </c>
    </row>
    <row r="232" spans="1:9" x14ac:dyDescent="0.25">
      <c r="A232" s="4">
        <f t="shared" si="3"/>
        <v>231</v>
      </c>
      <c r="B232" s="4" t="s">
        <v>12</v>
      </c>
      <c r="C232" t="str">
        <f>'[2]LAB CIVIL'!$C$4</f>
        <v>DIEGO LEONARDO SIMONS LINARES</v>
      </c>
      <c r="E232" t="s">
        <v>13</v>
      </c>
      <c r="F232" t="s">
        <v>123</v>
      </c>
      <c r="G232" s="4" t="str">
        <f>'[2]LAB CIVIL'!B144</f>
        <v>4-05534</v>
      </c>
      <c r="H232" t="str">
        <f>'[2]LAB CIVIL'!C144</f>
        <v>TAMIZ PARA SUELO</v>
      </c>
      <c r="I232" s="5" t="str">
        <f>'[2]LAB CIVIL'!D144</f>
        <v>Regular</v>
      </c>
    </row>
    <row r="233" spans="1:9" x14ac:dyDescent="0.25">
      <c r="A233" s="4">
        <f t="shared" si="3"/>
        <v>232</v>
      </c>
      <c r="B233" s="4" t="s">
        <v>12</v>
      </c>
      <c r="C233" t="str">
        <f>'[2]LAB CIVIL'!$C$4</f>
        <v>DIEGO LEONARDO SIMONS LINARES</v>
      </c>
      <c r="E233" t="s">
        <v>13</v>
      </c>
      <c r="F233" t="s">
        <v>123</v>
      </c>
      <c r="G233" s="4" t="str">
        <f>'[2]LAB CIVIL'!B145</f>
        <v>4-05533</v>
      </c>
      <c r="H233" t="str">
        <f>'[2]LAB CIVIL'!C145</f>
        <v>TAMIZ PARA SUELO</v>
      </c>
      <c r="I233" s="5" t="str">
        <f>'[2]LAB CIVIL'!D145</f>
        <v>Regular</v>
      </c>
    </row>
    <row r="234" spans="1:9" x14ac:dyDescent="0.25">
      <c r="A234" s="4">
        <f t="shared" si="3"/>
        <v>233</v>
      </c>
      <c r="B234" s="4" t="s">
        <v>12</v>
      </c>
      <c r="C234" t="str">
        <f>'[2]LAB CIVIL'!$C$4</f>
        <v>DIEGO LEONARDO SIMONS LINARES</v>
      </c>
      <c r="E234" t="s">
        <v>13</v>
      </c>
      <c r="F234" t="s">
        <v>123</v>
      </c>
      <c r="G234" s="4" t="str">
        <f>'[2]LAB CIVIL'!B146</f>
        <v>4-05499</v>
      </c>
      <c r="H234" t="str">
        <f>'[2]LAB CIVIL'!C146</f>
        <v>TAMIZ PARA SUELO</v>
      </c>
      <c r="I234" s="5" t="str">
        <f>'[2]LAB CIVIL'!D146</f>
        <v>Regular</v>
      </c>
    </row>
    <row r="235" spans="1:9" x14ac:dyDescent="0.25">
      <c r="A235" s="4">
        <f t="shared" si="3"/>
        <v>234</v>
      </c>
      <c r="B235" s="4" t="s">
        <v>12</v>
      </c>
      <c r="C235" t="str">
        <f>'[2]LAB CIVIL'!$C$4</f>
        <v>DIEGO LEONARDO SIMONS LINARES</v>
      </c>
      <c r="E235" t="s">
        <v>13</v>
      </c>
      <c r="F235" t="s">
        <v>123</v>
      </c>
      <c r="G235" s="4" t="str">
        <f>'[2]LAB CIVIL'!B147</f>
        <v>4-05493</v>
      </c>
      <c r="H235" t="str">
        <f>'[2]LAB CIVIL'!C147</f>
        <v>TAMIZ PARA SUELO</v>
      </c>
      <c r="I235" s="5" t="str">
        <f>'[2]LAB CIVIL'!D147</f>
        <v>Regular</v>
      </c>
    </row>
    <row r="236" spans="1:9" x14ac:dyDescent="0.25">
      <c r="A236" s="4">
        <f t="shared" si="3"/>
        <v>235</v>
      </c>
      <c r="B236" s="4" t="s">
        <v>12</v>
      </c>
      <c r="C236" t="str">
        <f>'[2]LAB CIVIL'!$C$4</f>
        <v>DIEGO LEONARDO SIMONS LINARES</v>
      </c>
      <c r="E236" t="s">
        <v>13</v>
      </c>
      <c r="F236" t="s">
        <v>123</v>
      </c>
      <c r="G236" s="4" t="str">
        <f>'[2]LAB CIVIL'!B148</f>
        <v>4-05492</v>
      </c>
      <c r="H236" t="str">
        <f>'[2]LAB CIVIL'!C148</f>
        <v>TAMIZ PARA SUELO</v>
      </c>
      <c r="I236" s="5" t="str">
        <f>'[2]LAB CIVIL'!D148</f>
        <v>Regular</v>
      </c>
    </row>
    <row r="237" spans="1:9" x14ac:dyDescent="0.25">
      <c r="A237" s="4">
        <f t="shared" si="3"/>
        <v>236</v>
      </c>
      <c r="B237" s="4" t="s">
        <v>12</v>
      </c>
      <c r="C237" t="str">
        <f>'[2]LAB CIVIL'!$C$4</f>
        <v>DIEGO LEONARDO SIMONS LINARES</v>
      </c>
      <c r="E237" t="s">
        <v>13</v>
      </c>
      <c r="F237" t="s">
        <v>123</v>
      </c>
      <c r="G237" s="4" t="str">
        <f>'[2]LAB CIVIL'!B149</f>
        <v>4-05491</v>
      </c>
      <c r="H237" t="str">
        <f>'[2]LAB CIVIL'!C149</f>
        <v>TAMIZ PARA SUELO</v>
      </c>
      <c r="I237" s="5" t="str">
        <f>'[2]LAB CIVIL'!D149</f>
        <v>Regular</v>
      </c>
    </row>
    <row r="238" spans="1:9" x14ac:dyDescent="0.25">
      <c r="A238" s="4">
        <f t="shared" si="3"/>
        <v>237</v>
      </c>
      <c r="B238" s="4" t="s">
        <v>12</v>
      </c>
      <c r="C238" t="str">
        <f>'[2]LAB CIVIL'!$C$4</f>
        <v>DIEGO LEONARDO SIMONS LINARES</v>
      </c>
      <c r="E238" t="s">
        <v>13</v>
      </c>
      <c r="F238" t="s">
        <v>123</v>
      </c>
      <c r="G238" s="4" t="str">
        <f>'[2]LAB CIVIL'!B150</f>
        <v>4-05490</v>
      </c>
      <c r="H238" t="str">
        <f>'[2]LAB CIVIL'!C150</f>
        <v>TAMIZ PARA SUELO</v>
      </c>
      <c r="I238" s="5" t="str">
        <f>'[2]LAB CIVIL'!D150</f>
        <v>Regular</v>
      </c>
    </row>
    <row r="239" spans="1:9" x14ac:dyDescent="0.25">
      <c r="A239" s="4">
        <f t="shared" si="3"/>
        <v>238</v>
      </c>
      <c r="B239" s="4" t="s">
        <v>12</v>
      </c>
      <c r="C239" t="str">
        <f>'[2]LAB CIVIL'!$C$4</f>
        <v>DIEGO LEONARDO SIMONS LINARES</v>
      </c>
      <c r="E239" t="s">
        <v>13</v>
      </c>
      <c r="F239" t="s">
        <v>123</v>
      </c>
      <c r="G239" s="4" t="str">
        <f>'[2]LAB CIVIL'!B151</f>
        <v>4-05489</v>
      </c>
      <c r="H239" t="str">
        <f>'[2]LAB CIVIL'!C151</f>
        <v>TAMIZ PARA SUELO</v>
      </c>
      <c r="I239" s="5" t="str">
        <f>'[2]LAB CIVIL'!D151</f>
        <v>Regular</v>
      </c>
    </row>
    <row r="240" spans="1:9" x14ac:dyDescent="0.25">
      <c r="A240" s="4">
        <f t="shared" si="3"/>
        <v>239</v>
      </c>
      <c r="B240" s="4" t="s">
        <v>12</v>
      </c>
      <c r="C240" t="str">
        <f>'[2]LAB CIVIL'!$C$4</f>
        <v>DIEGO LEONARDO SIMONS LINARES</v>
      </c>
      <c r="E240" t="s">
        <v>13</v>
      </c>
      <c r="F240" t="s">
        <v>123</v>
      </c>
      <c r="G240" s="4" t="str">
        <f>'[2]LAB CIVIL'!B152</f>
        <v>4-05488</v>
      </c>
      <c r="H240" t="str">
        <f>'[2]LAB CIVIL'!C152</f>
        <v>TAMIZ PARA SUELO</v>
      </c>
      <c r="I240" s="5" t="str">
        <f>'[2]LAB CIVIL'!D152</f>
        <v>Regular</v>
      </c>
    </row>
    <row r="241" spans="1:9" x14ac:dyDescent="0.25">
      <c r="A241" s="4">
        <f t="shared" si="3"/>
        <v>240</v>
      </c>
      <c r="B241" s="4" t="s">
        <v>12</v>
      </c>
      <c r="C241" t="str">
        <f>'[2]LAB CIVIL'!$C$4</f>
        <v>DIEGO LEONARDO SIMONS LINARES</v>
      </c>
      <c r="E241" t="s">
        <v>13</v>
      </c>
      <c r="F241" t="s">
        <v>123</v>
      </c>
      <c r="G241" s="4" t="str">
        <f>'[2]LAB CIVIL'!B153</f>
        <v>4-05486</v>
      </c>
      <c r="H241" t="str">
        <f>'[2]LAB CIVIL'!C153</f>
        <v>TAMIZ PARA SUELO</v>
      </c>
      <c r="I241" s="5" t="str">
        <f>'[2]LAB CIVIL'!D153</f>
        <v>Regular</v>
      </c>
    </row>
    <row r="242" spans="1:9" x14ac:dyDescent="0.25">
      <c r="A242" s="4">
        <f t="shared" si="3"/>
        <v>241</v>
      </c>
      <c r="B242" s="4" t="s">
        <v>12</v>
      </c>
      <c r="C242" t="str">
        <f>'[2]LAB CIVIL'!$C$4</f>
        <v>DIEGO LEONARDO SIMONS LINARES</v>
      </c>
      <c r="E242" t="s">
        <v>13</v>
      </c>
      <c r="F242" t="s">
        <v>123</v>
      </c>
      <c r="G242" s="4" t="str">
        <f>'[2]LAB CIVIL'!B154</f>
        <v>4-05485</v>
      </c>
      <c r="H242" t="str">
        <f>'[2]LAB CIVIL'!C154</f>
        <v>TAMIZ PARA SUELO</v>
      </c>
      <c r="I242" s="5" t="str">
        <f>'[2]LAB CIVIL'!D154</f>
        <v>Regular</v>
      </c>
    </row>
    <row r="243" spans="1:9" x14ac:dyDescent="0.25">
      <c r="A243" s="4">
        <f t="shared" si="3"/>
        <v>242</v>
      </c>
      <c r="B243" s="4" t="s">
        <v>12</v>
      </c>
      <c r="C243" t="str">
        <f>'[2]LAB CIVIL'!$C$4</f>
        <v>DIEGO LEONARDO SIMONS LINARES</v>
      </c>
      <c r="E243" t="s">
        <v>13</v>
      </c>
      <c r="F243" t="s">
        <v>123</v>
      </c>
      <c r="G243" s="4" t="str">
        <f>'[2]LAB CIVIL'!B155</f>
        <v>4-05484</v>
      </c>
      <c r="H243" t="str">
        <f>'[2]LAB CIVIL'!C155</f>
        <v>TAMIZ PARA SUELO</v>
      </c>
      <c r="I243" s="5" t="str">
        <f>'[2]LAB CIVIL'!D155</f>
        <v>Regular</v>
      </c>
    </row>
    <row r="244" spans="1:9" x14ac:dyDescent="0.25">
      <c r="A244" s="4">
        <f t="shared" si="3"/>
        <v>243</v>
      </c>
      <c r="B244" s="4" t="s">
        <v>12</v>
      </c>
      <c r="C244" t="str">
        <f>'[2]LAB CIVIL'!$C$4</f>
        <v>DIEGO LEONARDO SIMONS LINARES</v>
      </c>
      <c r="E244" t="s">
        <v>13</v>
      </c>
      <c r="F244" t="s">
        <v>123</v>
      </c>
      <c r="G244" s="4" t="str">
        <f>'[2]LAB CIVIL'!B156</f>
        <v>4-05483</v>
      </c>
      <c r="H244" t="str">
        <f>'[2]LAB CIVIL'!C156</f>
        <v>TAMIZ PARA SUELO</v>
      </c>
      <c r="I244" s="5" t="str">
        <f>'[2]LAB CIVIL'!D156</f>
        <v>Regular</v>
      </c>
    </row>
    <row r="245" spans="1:9" x14ac:dyDescent="0.25">
      <c r="A245" s="4">
        <f t="shared" si="3"/>
        <v>244</v>
      </c>
      <c r="B245" s="4" t="s">
        <v>12</v>
      </c>
      <c r="C245" t="str">
        <f>'[2]LAB CIVIL'!$C$4</f>
        <v>DIEGO LEONARDO SIMONS LINARES</v>
      </c>
      <c r="E245" t="s">
        <v>13</v>
      </c>
      <c r="F245" t="s">
        <v>123</v>
      </c>
      <c r="G245" s="4" t="str">
        <f>'[2]LAB CIVIL'!B157</f>
        <v>4-05497</v>
      </c>
      <c r="H245" t="str">
        <f>'[2]LAB CIVIL'!C157</f>
        <v>TAMIS DE ACERO INOXIDABLE DE 8DE DIAMETRO DE CONFORMIDAD A LA NORMA ASTME-11</v>
      </c>
      <c r="I245" s="5" t="str">
        <f>'[2]LAB CIVIL'!D157</f>
        <v>Regular</v>
      </c>
    </row>
    <row r="246" spans="1:9" x14ac:dyDescent="0.25">
      <c r="A246" s="4">
        <f t="shared" si="3"/>
        <v>245</v>
      </c>
      <c r="B246" s="4" t="s">
        <v>12</v>
      </c>
      <c r="C246" t="str">
        <f>'[2]LAB CIVIL'!$C$4</f>
        <v>DIEGO LEONARDO SIMONS LINARES</v>
      </c>
      <c r="E246" t="s">
        <v>13</v>
      </c>
      <c r="F246" t="s">
        <v>123</v>
      </c>
      <c r="G246" s="4" t="str">
        <f>'[2]LAB CIVIL'!B158</f>
        <v>4-05501</v>
      </c>
      <c r="H246" t="str">
        <f>'[2]LAB CIVIL'!C158</f>
        <v>TAMIS EN ACERO INOXIDABLE DE 8DE DIAMETRO MALLA N¬ 200 MARCA TAMIEQUIPO</v>
      </c>
      <c r="I246" s="5" t="str">
        <f>'[2]LAB CIVIL'!D158</f>
        <v>Regular</v>
      </c>
    </row>
    <row r="247" spans="1:9" x14ac:dyDescent="0.25">
      <c r="A247" s="4">
        <f t="shared" si="3"/>
        <v>246</v>
      </c>
      <c r="B247" s="4" t="s">
        <v>12</v>
      </c>
      <c r="C247" t="str">
        <f>'[2]LAB CIVIL'!$C$4</f>
        <v>DIEGO LEONARDO SIMONS LINARES</v>
      </c>
      <c r="E247" t="s">
        <v>13</v>
      </c>
      <c r="F247" t="s">
        <v>123</v>
      </c>
      <c r="G247" s="4" t="str">
        <f>'[2]LAB CIVIL'!B159</f>
        <v>4-05500</v>
      </c>
      <c r="H247" t="str">
        <f>'[2]LAB CIVIL'!C159</f>
        <v>TAMIZ PARA SUELO MALLA FINA</v>
      </c>
      <c r="I247" s="5" t="str">
        <f>'[2]LAB CIVIL'!D159</f>
        <v>Regular</v>
      </c>
    </row>
    <row r="248" spans="1:9" x14ac:dyDescent="0.25">
      <c r="A248" s="4">
        <f t="shared" si="3"/>
        <v>247</v>
      </c>
      <c r="B248" s="4" t="s">
        <v>12</v>
      </c>
      <c r="C248" t="str">
        <f>'[2]LAB CIVIL'!$C$4</f>
        <v>DIEGO LEONARDO SIMONS LINARES</v>
      </c>
      <c r="E248" t="s">
        <v>13</v>
      </c>
      <c r="F248" t="s">
        <v>123</v>
      </c>
      <c r="G248" s="4" t="str">
        <f>'[2]LAB CIVIL'!B160</f>
        <v>4-05494</v>
      </c>
      <c r="H248" t="str">
        <f>'[2]LAB CIVIL'!C160</f>
        <v>TAMIZ PARA SUELO MALLA FINA</v>
      </c>
      <c r="I248" s="5" t="str">
        <f>'[2]LAB CIVIL'!D160</f>
        <v>Regular</v>
      </c>
    </row>
    <row r="249" spans="1:9" x14ac:dyDescent="0.25">
      <c r="A249" s="4">
        <f t="shared" si="3"/>
        <v>248</v>
      </c>
      <c r="B249" s="4" t="s">
        <v>12</v>
      </c>
      <c r="C249" t="str">
        <f>'[2]LAB CIVIL'!$C$4</f>
        <v>DIEGO LEONARDO SIMONS LINARES</v>
      </c>
      <c r="E249" t="s">
        <v>13</v>
      </c>
      <c r="F249" t="s">
        <v>123</v>
      </c>
      <c r="G249" s="4" t="str">
        <f>'[2]LAB CIVIL'!B161</f>
        <v>4-05532</v>
      </c>
      <c r="H249" t="str">
        <f>'[2]LAB CIVIL'!C161</f>
        <v>TAMIZ PARA LAVADO DE 8' DIAM. NO 200, OPENINA 0029</v>
      </c>
      <c r="I249" s="5" t="str">
        <f>'[2]LAB CIVIL'!D161</f>
        <v>Regular</v>
      </c>
    </row>
    <row r="250" spans="1:9" x14ac:dyDescent="0.25">
      <c r="A250" s="4">
        <f t="shared" si="3"/>
        <v>249</v>
      </c>
      <c r="B250" s="4" t="s">
        <v>12</v>
      </c>
      <c r="C250" t="str">
        <f>'[2]LAB CIVIL'!$C$4</f>
        <v>DIEGO LEONARDO SIMONS LINARES</v>
      </c>
      <c r="E250" t="s">
        <v>13</v>
      </c>
      <c r="F250" t="s">
        <v>123</v>
      </c>
      <c r="G250" s="4" t="str">
        <f>'[2]LAB CIVIL'!B162</f>
        <v>4-05519</v>
      </c>
      <c r="H250" t="str">
        <f>'[2]LAB CIVIL'!C162</f>
        <v>JUEGO DE TAMIZ 8' DE 13 PIEZAS DIFERENTES MEDIDAS DE MALLA COLOR GRIS MARCA MATEST</v>
      </c>
      <c r="I250" s="5" t="str">
        <f>'[2]LAB CIVIL'!D162</f>
        <v>Regular</v>
      </c>
    </row>
    <row r="251" spans="1:9" x14ac:dyDescent="0.25">
      <c r="A251" s="4">
        <f t="shared" si="3"/>
        <v>250</v>
      </c>
      <c r="B251" s="4" t="s">
        <v>12</v>
      </c>
      <c r="C251" t="str">
        <f>'[2]LAB CIVIL'!$C$4</f>
        <v>DIEGO LEONARDO SIMONS LINARES</v>
      </c>
      <c r="E251" t="s">
        <v>13</v>
      </c>
      <c r="F251" t="s">
        <v>123</v>
      </c>
      <c r="G251" s="4" t="str">
        <f>'[2]LAB CIVIL'!B163</f>
        <v>4-05506</v>
      </c>
      <c r="H251" t="str">
        <f>'[2]LAB CIVIL'!C163</f>
        <v>JUEGO DE TAMIZ 8' DE 13 PIEZAS DIFERENTES MEDIDAS DE MALLA COLOR GRIS MARCA MATEST</v>
      </c>
      <c r="I251" s="5" t="str">
        <f>'[2]LAB CIVIL'!D163</f>
        <v>Regular</v>
      </c>
    </row>
    <row r="252" spans="1:9" x14ac:dyDescent="0.25">
      <c r="A252" s="4">
        <f t="shared" si="3"/>
        <v>251</v>
      </c>
      <c r="B252" s="4" t="s">
        <v>12</v>
      </c>
      <c r="C252" t="str">
        <f>'[2]LAB CIVIL'!$C$4</f>
        <v>DIEGO LEONARDO SIMONS LINARES</v>
      </c>
      <c r="E252" t="s">
        <v>13</v>
      </c>
      <c r="F252" t="s">
        <v>123</v>
      </c>
      <c r="G252" s="4" t="str">
        <f>'[2]LAB CIVIL'!B164</f>
        <v>4-011322</v>
      </c>
      <c r="H252" t="str">
        <f>'[2]LAB CIVIL'!C164</f>
        <v>TAMICES PARA SUELOS MARCA MATEST MODELO A050-KIT PROCEDENCIA DE ITALIA SERIE A050-02/BC/0006</v>
      </c>
      <c r="I252" s="5" t="str">
        <f>'[2]LAB CIVIL'!D164</f>
        <v>Regular</v>
      </c>
    </row>
    <row r="253" spans="1:9" x14ac:dyDescent="0.25">
      <c r="A253" s="4">
        <f t="shared" si="3"/>
        <v>252</v>
      </c>
      <c r="B253" s="4" t="s">
        <v>12</v>
      </c>
      <c r="C253" t="str">
        <f>'[2]LAB CIVIL'!$C$4</f>
        <v>DIEGO LEONARDO SIMONS LINARES</v>
      </c>
      <c r="E253" t="s">
        <v>13</v>
      </c>
      <c r="F253" t="s">
        <v>123</v>
      </c>
      <c r="G253" s="4" t="str">
        <f>'[2]LAB CIVIL'!B165</f>
        <v>4-011321</v>
      </c>
      <c r="H253" t="str">
        <f>'[2]LAB CIVIL'!C165</f>
        <v>TAMICES PARA SUELOS MARCA MATEST MODELO A050-KIT PROCEDENCIA DE ITALIA SERIE A050-02/BC/0005</v>
      </c>
      <c r="I253" s="5" t="str">
        <f>'[2]LAB CIVIL'!D165</f>
        <v>Regular</v>
      </c>
    </row>
    <row r="254" spans="1:9" x14ac:dyDescent="0.25">
      <c r="A254" s="4">
        <f t="shared" si="3"/>
        <v>253</v>
      </c>
      <c r="B254" s="4" t="s">
        <v>12</v>
      </c>
      <c r="C254" t="str">
        <f>'[2]LAB CIVIL'!$C$4</f>
        <v>DIEGO LEONARDO SIMONS LINARES</v>
      </c>
      <c r="E254" t="s">
        <v>13</v>
      </c>
      <c r="F254" t="s">
        <v>123</v>
      </c>
      <c r="G254" s="4" t="str">
        <f>'[2]LAB CIVIL'!B166</f>
        <v>4-011320</v>
      </c>
      <c r="H254" t="str">
        <f>'[2]LAB CIVIL'!C166</f>
        <v>TAMICES PARA SUELOS MARCA MATEST MODELO A050-KIT PROCEDENCIA DE ITALIA SERIE A050-02/BC/0004</v>
      </c>
      <c r="I254" s="5" t="str">
        <f>'[2]LAB CIVIL'!D166</f>
        <v>Regular</v>
      </c>
    </row>
    <row r="255" spans="1:9" x14ac:dyDescent="0.25">
      <c r="A255" s="4">
        <f t="shared" si="3"/>
        <v>254</v>
      </c>
      <c r="B255" s="4" t="s">
        <v>12</v>
      </c>
      <c r="C255" t="str">
        <f>'[2]LAB CIVIL'!$C$4</f>
        <v>DIEGO LEONARDO SIMONS LINARES</v>
      </c>
      <c r="E255" t="s">
        <v>13</v>
      </c>
      <c r="F255" t="s">
        <v>123</v>
      </c>
      <c r="G255" s="4" t="str">
        <f>'[2]LAB CIVIL'!B167</f>
        <v>4-11504</v>
      </c>
      <c r="H255" t="str">
        <f>'[2]LAB CIVIL'!C167</f>
        <v>TAMICES MARCA MATEST MODELO A050 KIT NUMERO DE SERIE A050-KIT/BA/00035 PROCEDENCIA ITALIA</v>
      </c>
      <c r="I255" s="5" t="str">
        <f>'[2]LAB CIVIL'!D167</f>
        <v>Regular</v>
      </c>
    </row>
    <row r="256" spans="1:9" x14ac:dyDescent="0.25">
      <c r="A256" s="4">
        <f t="shared" si="3"/>
        <v>255</v>
      </c>
      <c r="B256" s="4" t="s">
        <v>12</v>
      </c>
      <c r="C256" t="str">
        <f>'[2]LAB CIVIL'!$C$4</f>
        <v>DIEGO LEONARDO SIMONS LINARES</v>
      </c>
      <c r="E256" t="s">
        <v>13</v>
      </c>
      <c r="F256" t="s">
        <v>123</v>
      </c>
      <c r="G256" s="4" t="str">
        <f>'[2]LAB CIVIL'!B168</f>
        <v>4-11505</v>
      </c>
      <c r="H256" t="str">
        <f>'[2]LAB CIVIL'!C168</f>
        <v>TAMICES MARCA MATEST MODELO A050 KIT NUMERO DE SERIE A050-KIT/BA/00034 PROCEDENCIA ITALIA</v>
      </c>
      <c r="I256" s="5" t="str">
        <f>'[2]LAB CIVIL'!D168</f>
        <v>Regular</v>
      </c>
    </row>
    <row r="257" spans="1:9" x14ac:dyDescent="0.25">
      <c r="A257" s="4">
        <f t="shared" si="3"/>
        <v>256</v>
      </c>
      <c r="B257" s="4" t="s">
        <v>12</v>
      </c>
      <c r="C257" t="str">
        <f>'[2]LAB CIVIL'!$C$4</f>
        <v>DIEGO LEONARDO SIMONS LINARES</v>
      </c>
      <c r="E257" t="s">
        <v>13</v>
      </c>
      <c r="F257" t="s">
        <v>123</v>
      </c>
      <c r="G257" s="4" t="str">
        <f>'[2]LAB CIVIL'!B169</f>
        <v>4-11503</v>
      </c>
      <c r="H257" t="str">
        <f>'[2]LAB CIVIL'!C169</f>
        <v>TAMICES MARCA MATEST MODELO A050 KIT NUMERO DE SERIE A050-KIT/BA/00033 PROCEDENCIA ITALIA</v>
      </c>
      <c r="I257" s="5" t="str">
        <f>'[2]LAB CIVIL'!D169</f>
        <v>Regular</v>
      </c>
    </row>
    <row r="258" spans="1:9" x14ac:dyDescent="0.25">
      <c r="A258" s="4">
        <f t="shared" si="3"/>
        <v>257</v>
      </c>
      <c r="B258" s="4" t="s">
        <v>12</v>
      </c>
      <c r="C258" t="str">
        <f>'[2]LAB CIVIL'!$C$4</f>
        <v>DIEGO LEONARDO SIMONS LINARES</v>
      </c>
      <c r="E258" t="s">
        <v>13</v>
      </c>
      <c r="F258" t="s">
        <v>123</v>
      </c>
      <c r="G258" s="4" t="str">
        <f>'[2]LAB CIVIL'!B170</f>
        <v>4-07104</v>
      </c>
      <c r="H258" t="str">
        <f>'[2]LAB CIVIL'!C170</f>
        <v>HORMIGONERA TIPO TAMBOR, MARCA MATEST, MODELO C161, PROCEDENCIA ITALIA, CANTIDAD DE PIEZAS 1, COLOR NARANJA</v>
      </c>
      <c r="I258" s="5" t="str">
        <f>'[2]LAB CIVIL'!D170</f>
        <v>Regular</v>
      </c>
    </row>
    <row r="259" spans="1:9" x14ac:dyDescent="0.25">
      <c r="A259" s="4">
        <f t="shared" si="3"/>
        <v>258</v>
      </c>
      <c r="B259" s="4" t="s">
        <v>12</v>
      </c>
      <c r="C259" t="str">
        <f>'[2]LAB CIVIL'!$C$4</f>
        <v>DIEGO LEONARDO SIMONS LINARES</v>
      </c>
      <c r="E259" t="s">
        <v>13</v>
      </c>
      <c r="F259" t="s">
        <v>123</v>
      </c>
      <c r="G259" s="4" t="str">
        <f>'[2]LAB CIVIL'!B171</f>
        <v>4-05537</v>
      </c>
      <c r="H259" t="str">
        <f>'[2]LAB CIVIL'!C171</f>
        <v>CAMARAS IP CMP DOMO; MARCA: DAHUA; MODELO: DH-IPC-HDW4300SN; S/N; G036E6PAX00038</v>
      </c>
      <c r="I259" s="5" t="str">
        <f>'[2]LAB CIVIL'!D171</f>
        <v>Regular</v>
      </c>
    </row>
    <row r="260" spans="1:9" x14ac:dyDescent="0.25">
      <c r="A260" s="4">
        <f t="shared" ref="A260:A323" si="4">A259+1</f>
        <v>259</v>
      </c>
      <c r="B260" s="4" t="s">
        <v>12</v>
      </c>
      <c r="C260" t="str">
        <f>'[2]LAB CIVIL'!$C$4</f>
        <v>DIEGO LEONARDO SIMONS LINARES</v>
      </c>
      <c r="E260" t="s">
        <v>13</v>
      </c>
      <c r="F260" t="s">
        <v>123</v>
      </c>
      <c r="G260" s="4" t="str">
        <f>'[2]LAB CIVIL'!B172</f>
        <v>4-05538</v>
      </c>
      <c r="H260" t="str">
        <f>'[2]LAB CIVIL'!C172</f>
        <v>CAMARAS IP CMP DOMO; MARCA: DAHUA; MODELO: DH-IPC-HDW4300SN; S/N; 1G036E6PAX00186</v>
      </c>
      <c r="I260" s="5" t="str">
        <f>'[2]LAB CIVIL'!D172</f>
        <v>Regular</v>
      </c>
    </row>
    <row r="261" spans="1:9" x14ac:dyDescent="0.25">
      <c r="A261" s="4">
        <f t="shared" si="4"/>
        <v>260</v>
      </c>
      <c r="B261" s="4" t="s">
        <v>12</v>
      </c>
      <c r="C261" t="str">
        <f>'[2]LAB CIVIL'!$C$4</f>
        <v>DIEGO LEONARDO SIMONS LINARES</v>
      </c>
      <c r="E261" t="s">
        <v>13</v>
      </c>
      <c r="F261" t="s">
        <v>123</v>
      </c>
      <c r="G261" s="4" t="str">
        <f>'[2]LAB CIVIL'!B173</f>
        <v>4-05631</v>
      </c>
      <c r="H261" t="str">
        <f>'[2]LAB CIVIL'!C173</f>
        <v>EQUIPO PARA DENSIDADES, CONO METALICO DE COBRE , BOTE PLASTICO</v>
      </c>
      <c r="I261" s="5" t="str">
        <f>'[2]LAB CIVIL'!D173</f>
        <v>Regular</v>
      </c>
    </row>
    <row r="262" spans="1:9" x14ac:dyDescent="0.25">
      <c r="A262" s="4">
        <f t="shared" si="4"/>
        <v>261</v>
      </c>
      <c r="B262" s="4" t="s">
        <v>12</v>
      </c>
      <c r="C262" t="str">
        <f>'[2]LAB CIVIL'!$C$4</f>
        <v>DIEGO LEONARDO SIMONS LINARES</v>
      </c>
      <c r="E262" t="s">
        <v>13</v>
      </c>
      <c r="F262" t="s">
        <v>123</v>
      </c>
      <c r="G262" s="4" t="str">
        <f>'[2]LAB CIVIL'!B174</f>
        <v>4-011315</v>
      </c>
      <c r="H262" t="str">
        <f>'[2]LAB CIVIL'!C174</f>
        <v>DENSITOMETRO DE MEMBRANA MARCA MATEST MODELO S230 KIT PROCEDENCIA ITALIA SERIE S230KIT/BC/0004</v>
      </c>
      <c r="I262" s="5" t="str">
        <f>'[2]LAB CIVIL'!D174</f>
        <v>Regular</v>
      </c>
    </row>
    <row r="263" spans="1:9" x14ac:dyDescent="0.25">
      <c r="A263" s="4">
        <f t="shared" si="4"/>
        <v>262</v>
      </c>
      <c r="B263" s="4" t="s">
        <v>12</v>
      </c>
      <c r="C263" t="str">
        <f>'[2]LAB CIVIL'!$C$4</f>
        <v>DIEGO LEONARDO SIMONS LINARES</v>
      </c>
      <c r="E263" t="s">
        <v>13</v>
      </c>
      <c r="F263" t="s">
        <v>123</v>
      </c>
      <c r="G263" s="4" t="str">
        <f>'[2]LAB CIVIL'!B175</f>
        <v>4-11513</v>
      </c>
      <c r="H263" t="str">
        <f>'[2]LAB CIVIL'!C175</f>
        <v>MAQUINA DE PERFORACION MARCA MATEST MODELO C322 NUMERO DE SERIE C322/BB/0032 PROCEDENCIA ITALIA</v>
      </c>
      <c r="I263" s="5" t="str">
        <f>'[2]LAB CIVIL'!D175</f>
        <v>Regular</v>
      </c>
    </row>
    <row r="264" spans="1:9" x14ac:dyDescent="0.25">
      <c r="A264" s="4">
        <f t="shared" si="4"/>
        <v>263</v>
      </c>
      <c r="B264" s="4" t="s">
        <v>12</v>
      </c>
      <c r="C264" t="str">
        <f>'[2]LAB CIVIL'!$C$4</f>
        <v>DIEGO LEONARDO SIMONS LINARES</v>
      </c>
      <c r="E264" t="s">
        <v>13</v>
      </c>
      <c r="F264" t="s">
        <v>123</v>
      </c>
      <c r="G264" s="4" t="str">
        <f>'[2]LAB CIVIL'!B176</f>
        <v>4-05442</v>
      </c>
      <c r="H264" t="str">
        <f>'[2]LAB CIVIL'!C176</f>
        <v>PRENSA DE ENSAYO DE CORTE DIRECTO INCLUYE 2 ESAS DE 8KG;4 PESAS DE 4 KG; 4 PESAS DE 1KG</v>
      </c>
      <c r="I264" s="5" t="str">
        <f>'[2]LAB CIVIL'!D176</f>
        <v>Regular</v>
      </c>
    </row>
    <row r="265" spans="1:9" x14ac:dyDescent="0.25">
      <c r="A265" s="4">
        <f t="shared" si="4"/>
        <v>264</v>
      </c>
      <c r="B265" s="4" t="s">
        <v>12</v>
      </c>
      <c r="C265" t="str">
        <f>'[2]LAB CIVIL'!$C$4</f>
        <v>DIEGO LEONARDO SIMONS LINARES</v>
      </c>
      <c r="E265" t="s">
        <v>13</v>
      </c>
      <c r="F265" t="s">
        <v>123</v>
      </c>
      <c r="G265" s="4" t="str">
        <f>'[2]LAB CIVIL'!B177</f>
        <v>4-05439A</v>
      </c>
      <c r="H265" t="str">
        <f>'[2]LAB CIVIL'!C177</f>
        <v>PRENSA PARA ENSAYO CBR MANUAL CON ANILLO DE CARGA (H4156)</v>
      </c>
      <c r="I265" s="5" t="str">
        <f>'[2]LAB CIVIL'!D177</f>
        <v>Regular</v>
      </c>
    </row>
    <row r="266" spans="1:9" x14ac:dyDescent="0.25">
      <c r="A266" s="4">
        <f t="shared" si="4"/>
        <v>265</v>
      </c>
      <c r="B266" s="4" t="s">
        <v>12</v>
      </c>
      <c r="C266" t="str">
        <f>'[2]LAB CIVIL'!$C$4</f>
        <v>DIEGO LEONARDO SIMONS LINARES</v>
      </c>
      <c r="E266" t="s">
        <v>13</v>
      </c>
      <c r="F266" t="s">
        <v>123</v>
      </c>
      <c r="G266" s="4">
        <f>'[2]LAB CIVIL'!B178</f>
        <v>8739</v>
      </c>
      <c r="H266" t="str">
        <f>'[2]LAB CIVIL'!C178</f>
        <v>MARTINETE DE 63,5 KG, PARADA DE CABEZA DE 4' DE DIAMTRO, 3,00 MTS DE CADENA DE 1/2' CON SUS RESPECTIVOS GRILLETES, SOPORTES DE SOGAS DE 3/4'</v>
      </c>
      <c r="I266" s="5" t="str">
        <f>'[2]LAB CIVIL'!D178</f>
        <v>Regular</v>
      </c>
    </row>
    <row r="267" spans="1:9" x14ac:dyDescent="0.25">
      <c r="A267" s="4">
        <f t="shared" si="4"/>
        <v>266</v>
      </c>
      <c r="B267" s="4" t="s">
        <v>12</v>
      </c>
      <c r="C267" t="str">
        <f>'[2]LAB CIVIL'!$C$4</f>
        <v>DIEGO LEONARDO SIMONS LINARES</v>
      </c>
      <c r="E267" t="s">
        <v>13</v>
      </c>
      <c r="F267" t="s">
        <v>123</v>
      </c>
      <c r="G267" s="4" t="str">
        <f>'[2]LAB CIVIL'!B179</f>
        <v>4-11515</v>
      </c>
      <c r="H267" t="str">
        <f>'[2]LAB CIVIL'!C179</f>
        <v>PANDEO DE EULER MARCA GUNT MODELO WP121 NUMERO DE SERIE 236896 PROCEDENCIA ALEMANIA</v>
      </c>
      <c r="I267" s="5" t="str">
        <f>'[2]LAB CIVIL'!D179</f>
        <v>Regular</v>
      </c>
    </row>
    <row r="268" spans="1:9" x14ac:dyDescent="0.25">
      <c r="A268" s="4">
        <f t="shared" si="4"/>
        <v>267</v>
      </c>
      <c r="B268" s="4" t="s">
        <v>12</v>
      </c>
      <c r="C268" t="str">
        <f>'[2]LAB CIVIL'!$C$4</f>
        <v>DIEGO LEONARDO SIMONS LINARES</v>
      </c>
      <c r="E268" t="s">
        <v>13</v>
      </c>
      <c r="F268" t="s">
        <v>123</v>
      </c>
      <c r="G268" s="4" t="str">
        <f>'[2]LAB CIVIL'!B180</f>
        <v>4-05441</v>
      </c>
      <c r="H268" t="str">
        <f>'[2]LAB CIVIL'!C180</f>
        <v>BALANZA MECANICA TRIPLE BRAZO 2610 G</v>
      </c>
      <c r="I268" s="5" t="str">
        <f>'[2]LAB CIVIL'!D180</f>
        <v>Malo</v>
      </c>
    </row>
    <row r="269" spans="1:9" x14ac:dyDescent="0.25">
      <c r="A269" s="4">
        <f t="shared" si="4"/>
        <v>268</v>
      </c>
      <c r="B269" s="4" t="s">
        <v>12</v>
      </c>
      <c r="C269" t="str">
        <f>'[2]LAB CIVIL'!$C$4</f>
        <v>DIEGO LEONARDO SIMONS LINARES</v>
      </c>
      <c r="E269" t="s">
        <v>13</v>
      </c>
      <c r="F269" t="s">
        <v>123</v>
      </c>
      <c r="G269" s="4" t="str">
        <f>'[2]LAB CIVIL'!B181</f>
        <v>4-05444</v>
      </c>
      <c r="H269" t="str">
        <f>'[2]LAB CIVIL'!C181</f>
        <v>BALANZA ELECTRONICA DE 1 KG C/SISTEMA 232 SERIE WD150010571</v>
      </c>
      <c r="I269" s="5" t="str">
        <f>'[2]LAB CIVIL'!D181</f>
        <v>Regular</v>
      </c>
    </row>
    <row r="270" spans="1:9" x14ac:dyDescent="0.25">
      <c r="A270" s="4">
        <f t="shared" si="4"/>
        <v>269</v>
      </c>
      <c r="B270" s="4" t="s">
        <v>12</v>
      </c>
      <c r="C270" t="str">
        <f>'[2]LAB CIVIL'!$C$4</f>
        <v>DIEGO LEONARDO SIMONS LINARES</v>
      </c>
      <c r="E270" t="s">
        <v>13</v>
      </c>
      <c r="F270" t="s">
        <v>123</v>
      </c>
      <c r="G270" s="4" t="str">
        <f>'[2]LAB CIVIL'!B182</f>
        <v>4-05443</v>
      </c>
      <c r="H270" t="str">
        <f>'[2]LAB CIVIL'!C182</f>
        <v>BALANZA ELECTRONICA DE 6 KG C/ SISTEMA 232 SERIE: WD150022344</v>
      </c>
      <c r="I270" s="5" t="str">
        <f>'[2]LAB CIVIL'!D182</f>
        <v>Regular</v>
      </c>
    </row>
    <row r="271" spans="1:9" x14ac:dyDescent="0.25">
      <c r="A271" s="4">
        <f t="shared" si="4"/>
        <v>270</v>
      </c>
      <c r="B271" s="4" t="s">
        <v>12</v>
      </c>
      <c r="C271" t="str">
        <f>'[2]LAB CIVIL'!$C$4</f>
        <v>DIEGO LEONARDO SIMONS LINARES</v>
      </c>
      <c r="E271" t="s">
        <v>13</v>
      </c>
      <c r="F271" t="s">
        <v>123</v>
      </c>
      <c r="G271" s="4" t="str">
        <f>'[2]LAB CIVIL'!B183</f>
        <v>4-09817</v>
      </c>
      <c r="H271" t="str">
        <f>'[2]LAB CIVIL'!C183</f>
        <v>BALANZA ELECTRONICA MARCA OAHUS MODELO 31P30 SERIEN¬ 8341535076 CAP. DE 30KG CON BANDEJA DE 30CMX22.5CM</v>
      </c>
      <c r="I271" s="5" t="str">
        <f>'[2]LAB CIVIL'!D183</f>
        <v>Regular</v>
      </c>
    </row>
    <row r="272" spans="1:9" x14ac:dyDescent="0.25">
      <c r="A272" s="4">
        <f t="shared" si="4"/>
        <v>271</v>
      </c>
      <c r="B272" s="4" t="s">
        <v>12</v>
      </c>
      <c r="C272" t="str">
        <f>'[2]LAB CIVIL'!$C$4</f>
        <v>DIEGO LEONARDO SIMONS LINARES</v>
      </c>
      <c r="E272" t="s">
        <v>13</v>
      </c>
      <c r="F272" t="s">
        <v>123</v>
      </c>
      <c r="G272" s="4" t="str">
        <f>'[2]LAB CIVIL'!B184</f>
        <v>4-05445</v>
      </c>
      <c r="H272" t="str">
        <f>'[2]LAB CIVIL'!C184</f>
        <v>BALANZA ELECTRONICA DE 30 KG SERIE: WD140112720</v>
      </c>
      <c r="I272" s="5" t="str">
        <f>'[2]LAB CIVIL'!D184</f>
        <v>Regular</v>
      </c>
    </row>
    <row r="273" spans="1:9" x14ac:dyDescent="0.25">
      <c r="A273" s="4">
        <f t="shared" si="4"/>
        <v>272</v>
      </c>
      <c r="B273" s="4" t="s">
        <v>12</v>
      </c>
      <c r="C273" t="str">
        <f>'[2]LAB CIVIL'!$C$4</f>
        <v>DIEGO LEONARDO SIMONS LINARES</v>
      </c>
      <c r="E273" t="s">
        <v>13</v>
      </c>
      <c r="F273" t="s">
        <v>123</v>
      </c>
      <c r="G273" s="4" t="str">
        <f>'[2]LAB CIVIL'!B185</f>
        <v>4-08788</v>
      </c>
      <c r="H273" t="str">
        <f>'[2]LAB CIVIL'!C185</f>
        <v>PRENSA PARA CBR MARCHALL NO CONFINADAS MARCA MATEST MOD. S215PA132 PESO 140 KG PODER DE 750W AMP 3 ACCESORIOS</v>
      </c>
      <c r="I273" s="5" t="str">
        <f>'[2]LAB CIVIL'!D185</f>
        <v>Regular</v>
      </c>
    </row>
    <row r="274" spans="1:9" x14ac:dyDescent="0.25">
      <c r="A274" s="4">
        <f t="shared" si="4"/>
        <v>273</v>
      </c>
      <c r="B274" s="4" t="s">
        <v>12</v>
      </c>
      <c r="C274" t="str">
        <f>'[2]LAB CIVIL'!$C$4</f>
        <v>DIEGO LEONARDO SIMONS LINARES</v>
      </c>
      <c r="E274" t="s">
        <v>13</v>
      </c>
      <c r="F274" t="s">
        <v>123</v>
      </c>
      <c r="G274" s="4" t="str">
        <f>'[2]LAB CIVIL'!B186</f>
        <v>4-08786</v>
      </c>
      <c r="H274" t="str">
        <f>'[2]LAB CIVIL'!C186</f>
        <v>PRENSA PARA COMPRESION FLEXION ALTA EFICIENCIA MARCA MATEST MOD. CO89PN885 DE 2000 KN LUZ TOTAL DEL BASTIDOR 53,5 CM DE 25 CM.</v>
      </c>
      <c r="I274" s="5" t="str">
        <f>'[2]LAB CIVIL'!D186</f>
        <v>Regular</v>
      </c>
    </row>
    <row r="275" spans="1:9" x14ac:dyDescent="0.25">
      <c r="A275" s="4">
        <f t="shared" si="4"/>
        <v>274</v>
      </c>
      <c r="B275" s="4" t="s">
        <v>12</v>
      </c>
      <c r="C275" t="str">
        <f>'[2]LAB CIVIL'!$C$4</f>
        <v>DIEGO LEONARDO SIMONS LINARES</v>
      </c>
      <c r="E275" t="s">
        <v>13</v>
      </c>
      <c r="F275" t="s">
        <v>123</v>
      </c>
      <c r="G275" s="4">
        <f>'[2]LAB CIVIL'!B187</f>
        <v>8755</v>
      </c>
      <c r="H275" t="str">
        <f>'[2]LAB CIVIL'!C187</f>
        <v>BARRA DE SONDEO,DIMENSIONES BAJO NORMA ASTM D-1586, 25 METROS LINEALES</v>
      </c>
      <c r="I275" s="5" t="str">
        <f>'[2]LAB CIVIL'!D187</f>
        <v>Regular</v>
      </c>
    </row>
    <row r="276" spans="1:9" x14ac:dyDescent="0.25">
      <c r="A276" s="4">
        <f t="shared" si="4"/>
        <v>275</v>
      </c>
      <c r="B276" s="4" t="s">
        <v>12</v>
      </c>
      <c r="C276" t="str">
        <f>'[2]LAB CIVIL'!$C$4</f>
        <v>DIEGO LEONARDO SIMONS LINARES</v>
      </c>
      <c r="E276" t="s">
        <v>13</v>
      </c>
      <c r="F276" t="s">
        <v>123</v>
      </c>
      <c r="G276" s="4" t="str">
        <f>'[2]LAB CIVIL'!B188</f>
        <v>4-11498</v>
      </c>
      <c r="H276" t="str">
        <f>'[2]LAB CIVIL'!C188</f>
        <v>BASTIDOR PARA GRAVEDAD ESPECIFICA MARCA MATEST MODELO V085 NUMERO DE SERIE V085/BC/0098 PROCEDENCIA ITALIA</v>
      </c>
      <c r="I276" s="5" t="str">
        <f>'[2]LAB CIVIL'!D188</f>
        <v>Regular</v>
      </c>
    </row>
    <row r="277" spans="1:9" x14ac:dyDescent="0.25">
      <c r="A277" s="4">
        <f t="shared" si="4"/>
        <v>276</v>
      </c>
      <c r="B277" s="4" t="s">
        <v>12</v>
      </c>
      <c r="C277" t="str">
        <f>'[2]LAB CIVIL'!$C$4</f>
        <v>DIEGO LEONARDO SIMONS LINARES</v>
      </c>
      <c r="E277" t="s">
        <v>13</v>
      </c>
      <c r="F277" t="s">
        <v>123</v>
      </c>
      <c r="G277" s="4" t="str">
        <f>'[2]LAB CIVIL'!B189</f>
        <v>4-08792</v>
      </c>
      <c r="H277" t="str">
        <f>'[2]LAB CIVIL'!C189</f>
        <v>BASTIDOR DE DENSIDAD RELATIVA MARCA MATEST MOD. V085 1 BALANZA ELECTRONICA DE 30 KG. 0,5GR. 1 CESTILLON DE 3,35 MM 1 SOPORTE PUENTE VARILLA DE G</v>
      </c>
      <c r="I277" s="5" t="str">
        <f>'[2]LAB CIVIL'!D189</f>
        <v>Regular</v>
      </c>
    </row>
    <row r="278" spans="1:9" x14ac:dyDescent="0.25">
      <c r="A278" s="4">
        <f t="shared" si="4"/>
        <v>277</v>
      </c>
      <c r="B278" s="4" t="s">
        <v>12</v>
      </c>
      <c r="C278" t="str">
        <f>'[2]LAB CIVIL'!$C$4</f>
        <v>DIEGO LEONARDO SIMONS LINARES</v>
      </c>
      <c r="E278" t="s">
        <v>13</v>
      </c>
      <c r="F278" t="s">
        <v>123</v>
      </c>
      <c r="G278" s="4" t="str">
        <f>'[2]LAB CIVIL'!B190</f>
        <v>4-011319</v>
      </c>
      <c r="H278" t="str">
        <f>'[2]LAB CIVIL'!C190</f>
        <v>EQUIVALENTE DE ARENA MARCA MATEST MODELO S158 KIT PROCEDENCIA DE ITALIA SERIE S158-01/BA/00014</v>
      </c>
      <c r="I278" s="5" t="str">
        <f>'[2]LAB CIVIL'!D190</f>
        <v>Regular</v>
      </c>
    </row>
    <row r="279" spans="1:9" x14ac:dyDescent="0.25">
      <c r="A279" s="4">
        <f t="shared" si="4"/>
        <v>278</v>
      </c>
      <c r="B279" s="4" t="s">
        <v>12</v>
      </c>
      <c r="C279" t="str">
        <f>'[2]LAB CIVIL'!$C$4</f>
        <v>DIEGO LEONARDO SIMONS LINARES</v>
      </c>
      <c r="E279" t="s">
        <v>13</v>
      </c>
      <c r="F279" t="s">
        <v>123</v>
      </c>
      <c r="G279" s="4" t="str">
        <f>'[2]LAB CIVIL'!B191</f>
        <v>4-011318</v>
      </c>
      <c r="H279" t="str">
        <f>'[2]LAB CIVIL'!C191</f>
        <v>EQUIVALENTE DE ARENA MARCA MATEST MODELO S158 KIT PROCEDENCIA DE ITALIA SERIE S158-01/BA/00013</v>
      </c>
      <c r="I279" s="5" t="str">
        <f>'[2]LAB CIVIL'!D191</f>
        <v>Regular</v>
      </c>
    </row>
    <row r="280" spans="1:9" x14ac:dyDescent="0.25">
      <c r="A280" s="4">
        <f t="shared" si="4"/>
        <v>279</v>
      </c>
      <c r="B280" s="4" t="s">
        <v>12</v>
      </c>
      <c r="C280" t="str">
        <f>'[2]LAB CIVIL'!$C$4</f>
        <v>DIEGO LEONARDO SIMONS LINARES</v>
      </c>
      <c r="E280" t="s">
        <v>13</v>
      </c>
      <c r="F280" t="s">
        <v>123</v>
      </c>
      <c r="G280" s="4" t="str">
        <f>'[2]LAB CIVIL'!B192</f>
        <v>4-011317</v>
      </c>
      <c r="H280" t="str">
        <f>'[2]LAB CIVIL'!C192</f>
        <v>EQUIVALENTE DE ARENA MARCA MATEST MODELO S158 KIT PROCEDENCIA DE ITALIA SERIE S158-01/BA/00011</v>
      </c>
      <c r="I280" s="5" t="str">
        <f>'[2]LAB CIVIL'!D192</f>
        <v>Regular</v>
      </c>
    </row>
    <row r="281" spans="1:9" x14ac:dyDescent="0.25">
      <c r="A281" s="4">
        <f t="shared" si="4"/>
        <v>280</v>
      </c>
      <c r="B281" s="4" t="s">
        <v>12</v>
      </c>
      <c r="C281" t="str">
        <f>'[2]LAB CIVIL'!$C$4</f>
        <v>DIEGO LEONARDO SIMONS LINARES</v>
      </c>
      <c r="E281" t="s">
        <v>13</v>
      </c>
      <c r="F281" t="s">
        <v>123</v>
      </c>
      <c r="G281" s="4" t="str">
        <f>'[2]LAB CIVIL'!B193</f>
        <v>4-011316</v>
      </c>
      <c r="H281" t="str">
        <f>'[2]LAB CIVIL'!C193</f>
        <v>EQUIVALENTE DE ARENA MARCA MATEST MODELO S158 KIT PROCEDENCIA DE ITALIA SERIE S158-01/BA/00010</v>
      </c>
      <c r="I281" s="5" t="str">
        <f>'[2]LAB CIVIL'!D193</f>
        <v>Regular</v>
      </c>
    </row>
    <row r="282" spans="1:9" x14ac:dyDescent="0.25">
      <c r="A282" s="4">
        <f t="shared" si="4"/>
        <v>281</v>
      </c>
      <c r="B282" s="4" t="s">
        <v>12</v>
      </c>
      <c r="C282" t="str">
        <f>'[2]LAB CIVIL'!$C$4</f>
        <v>DIEGO LEONARDO SIMONS LINARES</v>
      </c>
      <c r="E282" t="s">
        <v>13</v>
      </c>
      <c r="F282" t="s">
        <v>123</v>
      </c>
      <c r="G282" s="4" t="str">
        <f>'[2]LAB CIVIL'!B194</f>
        <v>4-07103</v>
      </c>
      <c r="H282" t="str">
        <f>'[2]LAB CIVIL'!C194</f>
        <v>MOLDES PARA VIGAS DE ENSAYOS DE FELXION DE 15X15X60 MM, MARCA MATEST, MODELO C254-02, PROCEDENCIA ITALIA, CATIDAD DE PIEZAS 1, COLOR AZUL</v>
      </c>
      <c r="I282" s="5" t="str">
        <f>'[2]LAB CIVIL'!D194</f>
        <v>Regular</v>
      </c>
    </row>
    <row r="283" spans="1:9" x14ac:dyDescent="0.25">
      <c r="A283" s="4">
        <f t="shared" si="4"/>
        <v>282</v>
      </c>
      <c r="B283" s="4" t="s">
        <v>12</v>
      </c>
      <c r="C283" t="str">
        <f>'[2]LAB CIVIL'!$C$4</f>
        <v>DIEGO LEONARDO SIMONS LINARES</v>
      </c>
      <c r="E283" t="s">
        <v>13</v>
      </c>
      <c r="F283" t="s">
        <v>123</v>
      </c>
      <c r="G283" s="4" t="str">
        <f>'[2]LAB CIVIL'!B195</f>
        <v>4-07102</v>
      </c>
      <c r="H283" t="str">
        <f>'[2]LAB CIVIL'!C195</f>
        <v>MOLDES PARA VIGAS DE ENSAYOS DE FELXION DE 15X15X60 MM, MARCA MATEST, MODELO C254-02, PROCEDENCIA ITALIA, CATIDAD DE PIEZAS 1, COLOR AZUL</v>
      </c>
      <c r="I283" s="5" t="str">
        <f>'[2]LAB CIVIL'!D195</f>
        <v>Regular</v>
      </c>
    </row>
    <row r="284" spans="1:9" x14ac:dyDescent="0.25">
      <c r="A284" s="4">
        <f t="shared" si="4"/>
        <v>283</v>
      </c>
      <c r="B284" s="4" t="s">
        <v>12</v>
      </c>
      <c r="C284" t="str">
        <f>'[2]LAB CIVIL'!$C$4</f>
        <v>DIEGO LEONARDO SIMONS LINARES</v>
      </c>
      <c r="E284" t="s">
        <v>13</v>
      </c>
      <c r="F284" t="s">
        <v>123</v>
      </c>
      <c r="G284" s="4" t="str">
        <f>'[2]LAB CIVIL'!B196</f>
        <v>4-07101</v>
      </c>
      <c r="H284" t="str">
        <f>'[2]LAB CIVIL'!C196</f>
        <v>MOLDES PARA VIGAS DE ENSAYOS DE FELXION DE 15X15X60 MM, MARCA MATEST, MODELO C254-02, PROCEDENCIA ITALIA, CATIDAD DE PIEZAS 1, COLOR AZUL</v>
      </c>
      <c r="I284" s="5" t="str">
        <f>'[2]LAB CIVIL'!D196</f>
        <v>Regular</v>
      </c>
    </row>
    <row r="285" spans="1:9" x14ac:dyDescent="0.25">
      <c r="A285" s="4">
        <f t="shared" si="4"/>
        <v>284</v>
      </c>
      <c r="B285" s="4" t="s">
        <v>12</v>
      </c>
      <c r="C285" t="str">
        <f>'[2]LAB CIVIL'!$C$4</f>
        <v>DIEGO LEONARDO SIMONS LINARES</v>
      </c>
      <c r="E285" t="s">
        <v>13</v>
      </c>
      <c r="F285" t="s">
        <v>123</v>
      </c>
      <c r="G285" s="4" t="str">
        <f>'[2]LAB CIVIL'!B197</f>
        <v>4-11517</v>
      </c>
      <c r="H285" t="str">
        <f>'[2]LAB CIVIL'!C197</f>
        <v>EQUIPO PARA RESISTIVIDAD DE SUELOS MARCA PASI MODELO RM1 NUMERO DE SERIE 22117 PROCEDENCIA ITALIA</v>
      </c>
      <c r="I285" s="5" t="str">
        <f>'[2]LAB CIVIL'!D197</f>
        <v>Regular</v>
      </c>
    </row>
    <row r="286" spans="1:9" x14ac:dyDescent="0.25">
      <c r="A286" s="4">
        <f t="shared" si="4"/>
        <v>285</v>
      </c>
      <c r="B286" s="4" t="s">
        <v>12</v>
      </c>
      <c r="C286" t="str">
        <f>'[2]LAB CIVIL'!$C$4</f>
        <v>DIEGO LEONARDO SIMONS LINARES</v>
      </c>
      <c r="E286" t="s">
        <v>13</v>
      </c>
      <c r="F286" t="s">
        <v>123</v>
      </c>
      <c r="G286" s="4" t="str">
        <f>'[2]LAB CIVIL'!B198</f>
        <v>4-05576</v>
      </c>
      <c r="H286" t="str">
        <f>'[2]LAB CIVIL'!C198</f>
        <v>MOLDE DE PROBETAS DE ENSAYO A COMPRESION SIMPLE</v>
      </c>
      <c r="I286" s="5" t="str">
        <f>'[2]LAB CIVIL'!D198</f>
        <v>Regular</v>
      </c>
    </row>
    <row r="287" spans="1:9" x14ac:dyDescent="0.25">
      <c r="A287" s="4">
        <f t="shared" si="4"/>
        <v>286</v>
      </c>
      <c r="B287" s="4" t="s">
        <v>12</v>
      </c>
      <c r="C287" t="str">
        <f>'[2]LAB CIVIL'!$C$4</f>
        <v>DIEGO LEONARDO SIMONS LINARES</v>
      </c>
      <c r="E287" t="s">
        <v>13</v>
      </c>
      <c r="F287" t="s">
        <v>123</v>
      </c>
      <c r="G287" s="4" t="str">
        <f>'[2]LAB CIVIL'!B199</f>
        <v>4-05575</v>
      </c>
      <c r="H287" t="str">
        <f>'[2]LAB CIVIL'!C199</f>
        <v>MOLDE DE PROBETAS DE ENSAYO A COMPRESION SIMPLE</v>
      </c>
      <c r="I287" s="5" t="str">
        <f>'[2]LAB CIVIL'!D199</f>
        <v>Regular</v>
      </c>
    </row>
    <row r="288" spans="1:9" x14ac:dyDescent="0.25">
      <c r="A288" s="4">
        <f t="shared" si="4"/>
        <v>287</v>
      </c>
      <c r="B288" s="4" t="s">
        <v>12</v>
      </c>
      <c r="C288" t="str">
        <f>'[2]LAB CIVIL'!$C$4</f>
        <v>DIEGO LEONARDO SIMONS LINARES</v>
      </c>
      <c r="E288" t="s">
        <v>13</v>
      </c>
      <c r="F288" t="s">
        <v>123</v>
      </c>
      <c r="G288" s="4" t="str">
        <f>'[2]LAB CIVIL'!B200</f>
        <v>4-05574</v>
      </c>
      <c r="H288" t="str">
        <f>'[2]LAB CIVIL'!C200</f>
        <v>MOLDE DE PROBETAS DE ENSAYO A COMPRESION SIMPLE</v>
      </c>
      <c r="I288" s="5" t="str">
        <f>'[2]LAB CIVIL'!D200</f>
        <v>Regular</v>
      </c>
    </row>
    <row r="289" spans="1:9" x14ac:dyDescent="0.25">
      <c r="A289" s="4">
        <f t="shared" si="4"/>
        <v>288</v>
      </c>
      <c r="B289" s="4" t="s">
        <v>12</v>
      </c>
      <c r="C289" t="str">
        <f>'[2]LAB CIVIL'!$C$4</f>
        <v>DIEGO LEONARDO SIMONS LINARES</v>
      </c>
      <c r="E289" t="s">
        <v>13</v>
      </c>
      <c r="F289" t="s">
        <v>123</v>
      </c>
      <c r="G289" s="4" t="str">
        <f>'[2]LAB CIVIL'!B201</f>
        <v>4-05573</v>
      </c>
      <c r="H289" t="str">
        <f>'[2]LAB CIVIL'!C201</f>
        <v>MOLDE DE PROBETAS DE ENSAYO A COMPRESION SIMPLE</v>
      </c>
      <c r="I289" s="5" t="str">
        <f>'[2]LAB CIVIL'!D201</f>
        <v>Regular</v>
      </c>
    </row>
    <row r="290" spans="1:9" x14ac:dyDescent="0.25">
      <c r="A290" s="4">
        <f t="shared" si="4"/>
        <v>289</v>
      </c>
      <c r="B290" s="4" t="s">
        <v>12</v>
      </c>
      <c r="C290" t="str">
        <f>'[2]LAB CIVIL'!$C$4</f>
        <v>DIEGO LEONARDO SIMONS LINARES</v>
      </c>
      <c r="E290" t="s">
        <v>13</v>
      </c>
      <c r="F290" t="s">
        <v>123</v>
      </c>
      <c r="G290" s="4" t="str">
        <f>'[2]LAB CIVIL'!B202</f>
        <v>4-05572</v>
      </c>
      <c r="H290" t="str">
        <f>'[2]LAB CIVIL'!C202</f>
        <v>MOLDE DE PROBETAS DE ENSAYO A COMPRESION SIMPLE</v>
      </c>
      <c r="I290" s="5" t="str">
        <f>'[2]LAB CIVIL'!D202</f>
        <v>Regular</v>
      </c>
    </row>
    <row r="291" spans="1:9" x14ac:dyDescent="0.25">
      <c r="A291" s="4">
        <f t="shared" si="4"/>
        <v>290</v>
      </c>
      <c r="B291" s="4" t="s">
        <v>12</v>
      </c>
      <c r="C291" t="str">
        <f>'[2]LAB CIVIL'!$C$4</f>
        <v>DIEGO LEONARDO SIMONS LINARES</v>
      </c>
      <c r="E291" t="s">
        <v>13</v>
      </c>
      <c r="F291" t="s">
        <v>123</v>
      </c>
      <c r="G291" s="4" t="str">
        <f>'[2]LAB CIVIL'!B203</f>
        <v>4-05571</v>
      </c>
      <c r="H291" t="str">
        <f>'[2]LAB CIVIL'!C203</f>
        <v>MOLDE DE PROBETAS DE ENSAYO A COMPRESION SIMPLE</v>
      </c>
      <c r="I291" s="5" t="str">
        <f>'[2]LAB CIVIL'!D203</f>
        <v>Regular</v>
      </c>
    </row>
    <row r="292" spans="1:9" x14ac:dyDescent="0.25">
      <c r="A292" s="4">
        <f t="shared" si="4"/>
        <v>291</v>
      </c>
      <c r="B292" s="4" t="s">
        <v>12</v>
      </c>
      <c r="C292" t="str">
        <f>'[2]LAB CIVIL'!$C$4</f>
        <v>DIEGO LEONARDO SIMONS LINARES</v>
      </c>
      <c r="E292" t="s">
        <v>13</v>
      </c>
      <c r="F292" t="s">
        <v>123</v>
      </c>
      <c r="G292" s="4" t="str">
        <f>'[2]LAB CIVIL'!B204</f>
        <v>4-05570</v>
      </c>
      <c r="H292" t="str">
        <f>'[2]LAB CIVIL'!C204</f>
        <v>MOLDE DE PROBETAS DE ENSAYO A COMPRESION SIMPLE</v>
      </c>
      <c r="I292" s="5" t="str">
        <f>'[2]LAB CIVIL'!D204</f>
        <v>Regular</v>
      </c>
    </row>
    <row r="293" spans="1:9" x14ac:dyDescent="0.25">
      <c r="A293" s="4">
        <f t="shared" si="4"/>
        <v>292</v>
      </c>
      <c r="B293" s="4" t="s">
        <v>12</v>
      </c>
      <c r="C293" t="str">
        <f>'[2]LAB CIVIL'!$C$4</f>
        <v>DIEGO LEONARDO SIMONS LINARES</v>
      </c>
      <c r="E293" t="s">
        <v>13</v>
      </c>
      <c r="F293" t="s">
        <v>123</v>
      </c>
      <c r="G293" s="4" t="str">
        <f>'[2]LAB CIVIL'!B205</f>
        <v>4-05569</v>
      </c>
      <c r="H293" t="str">
        <f>'[2]LAB CIVIL'!C205</f>
        <v>MOLDE DE PROBETAS DE ENSAYO A COMPRESION SIMPLE</v>
      </c>
      <c r="I293" s="5" t="str">
        <f>'[2]LAB CIVIL'!D205</f>
        <v>Regular</v>
      </c>
    </row>
    <row r="294" spans="1:9" x14ac:dyDescent="0.25">
      <c r="A294" s="4">
        <f t="shared" si="4"/>
        <v>293</v>
      </c>
      <c r="B294" s="4" t="s">
        <v>12</v>
      </c>
      <c r="C294" t="str">
        <f>'[2]LAB CIVIL'!$C$4</f>
        <v>DIEGO LEONARDO SIMONS LINARES</v>
      </c>
      <c r="E294" t="s">
        <v>13</v>
      </c>
      <c r="F294" t="s">
        <v>123</v>
      </c>
      <c r="G294" s="4" t="str">
        <f>'[2]LAB CIVIL'!B206</f>
        <v>4-05568</v>
      </c>
      <c r="H294" t="str">
        <f>'[2]LAB CIVIL'!C206</f>
        <v>MOLDE DE PROBETAS DE ENSAYO A COMPRESION SIMPLE</v>
      </c>
      <c r="I294" s="5" t="str">
        <f>'[2]LAB CIVIL'!D206</f>
        <v>Regular</v>
      </c>
    </row>
    <row r="295" spans="1:9" x14ac:dyDescent="0.25">
      <c r="A295" s="4">
        <f t="shared" si="4"/>
        <v>294</v>
      </c>
      <c r="B295" s="4" t="s">
        <v>12</v>
      </c>
      <c r="C295" t="str">
        <f>'[2]LAB CIVIL'!$C$4</f>
        <v>DIEGO LEONARDO SIMONS LINARES</v>
      </c>
      <c r="E295" t="s">
        <v>13</v>
      </c>
      <c r="F295" t="s">
        <v>123</v>
      </c>
      <c r="G295" s="4" t="str">
        <f>'[2]LAB CIVIL'!B207</f>
        <v>4-05567</v>
      </c>
      <c r="H295" t="str">
        <f>'[2]LAB CIVIL'!C207</f>
        <v>MOLDE DE PROBETAS DE ENSAYO A COMPRESION SIMPLE</v>
      </c>
      <c r="I295" s="5" t="str">
        <f>'[2]LAB CIVIL'!D207</f>
        <v>Regular</v>
      </c>
    </row>
    <row r="296" spans="1:9" x14ac:dyDescent="0.25">
      <c r="A296" s="4">
        <f t="shared" si="4"/>
        <v>295</v>
      </c>
      <c r="B296" s="4" t="s">
        <v>12</v>
      </c>
      <c r="C296" t="str">
        <f>'[2]LAB CIVIL'!$C$4</f>
        <v>DIEGO LEONARDO SIMONS LINARES</v>
      </c>
      <c r="E296" t="s">
        <v>13</v>
      </c>
      <c r="F296" t="s">
        <v>123</v>
      </c>
      <c r="G296" s="4" t="str">
        <f>'[2]LAB CIVIL'!B208</f>
        <v>4-07110</v>
      </c>
      <c r="H296" t="str">
        <f>'[2]LAB CIVIL'!C208</f>
        <v>MOLDE DE ACERO PARA PROBETAS CILINDRICAS, MARCA MATEST, CODIGO DE REFERNCIA C258-02, PROCEDENCIA ITALIA, COLOR AZUL.</v>
      </c>
      <c r="I296" s="5" t="str">
        <f>'[2]LAB CIVIL'!D208</f>
        <v>Regular</v>
      </c>
    </row>
    <row r="297" spans="1:9" x14ac:dyDescent="0.25">
      <c r="A297" s="4">
        <f t="shared" si="4"/>
        <v>296</v>
      </c>
      <c r="B297" s="4" t="s">
        <v>12</v>
      </c>
      <c r="C297" t="str">
        <f>'[2]LAB CIVIL'!$C$4</f>
        <v>DIEGO LEONARDO SIMONS LINARES</v>
      </c>
      <c r="E297" t="s">
        <v>13</v>
      </c>
      <c r="F297" t="s">
        <v>123</v>
      </c>
      <c r="G297" s="4" t="str">
        <f>'[2]LAB CIVIL'!B209</f>
        <v>4-07109</v>
      </c>
      <c r="H297" t="str">
        <f>'[2]LAB CIVIL'!C209</f>
        <v>MOLDE DE ACERO PARA PROBETAS CILINDRICAS, MARCA MATEST, CODIGO DE REFERNCIA C258-02, PROCEDENCIA ITALIA, COLOR AZUL.</v>
      </c>
      <c r="I297" s="5" t="str">
        <f>'[2]LAB CIVIL'!D209</f>
        <v>Regular</v>
      </c>
    </row>
    <row r="298" spans="1:9" x14ac:dyDescent="0.25">
      <c r="A298" s="4">
        <f t="shared" si="4"/>
        <v>297</v>
      </c>
      <c r="B298" s="4" t="s">
        <v>12</v>
      </c>
      <c r="C298" t="str">
        <f>'[2]LAB CIVIL'!$C$4</f>
        <v>DIEGO LEONARDO SIMONS LINARES</v>
      </c>
      <c r="E298" t="s">
        <v>13</v>
      </c>
      <c r="F298" t="s">
        <v>123</v>
      </c>
      <c r="G298" s="4" t="str">
        <f>'[2]LAB CIVIL'!B210</f>
        <v>4-05589</v>
      </c>
      <c r="H298" t="str">
        <f>'[2]LAB CIVIL'!C210</f>
        <v>CONO DE ASENTAMIENTO SIUMP COBRE AGARRADORES LATERALES</v>
      </c>
      <c r="I298" s="5" t="str">
        <f>'[2]LAB CIVIL'!D210</f>
        <v>Regular</v>
      </c>
    </row>
    <row r="299" spans="1:9" x14ac:dyDescent="0.25">
      <c r="A299" s="4">
        <f t="shared" si="4"/>
        <v>298</v>
      </c>
      <c r="B299" s="4" t="s">
        <v>12</v>
      </c>
      <c r="C299" t="str">
        <f>'[2]LAB CIVIL'!$C$4</f>
        <v>DIEGO LEONARDO SIMONS LINARES</v>
      </c>
      <c r="E299" t="s">
        <v>13</v>
      </c>
      <c r="F299" t="s">
        <v>123</v>
      </c>
      <c r="G299" s="4" t="str">
        <f>'[2]LAB CIVIL'!B211</f>
        <v>4-05496</v>
      </c>
      <c r="H299" t="str">
        <f>'[2]LAB CIVIL'!C211</f>
        <v>CONO DE ABSORCION CON PIZON, MOLDE EN BRONCE SUPERIOR DE 40MMX90MM DE BASE DE 75MM MARCA TAMIEQUIPOS</v>
      </c>
      <c r="I299" s="5" t="str">
        <f>'[2]LAB CIVIL'!D211</f>
        <v>Regular</v>
      </c>
    </row>
    <row r="300" spans="1:9" x14ac:dyDescent="0.25">
      <c r="A300" s="4">
        <f t="shared" si="4"/>
        <v>299</v>
      </c>
      <c r="B300" s="4" t="s">
        <v>12</v>
      </c>
      <c r="C300" t="str">
        <f>'[2]LAB CIVIL'!$C$4</f>
        <v>DIEGO LEONARDO SIMONS LINARES</v>
      </c>
      <c r="E300" t="s">
        <v>13</v>
      </c>
      <c r="F300" t="s">
        <v>123</v>
      </c>
      <c r="G300" s="4" t="str">
        <f>'[2]LAB CIVIL'!B212</f>
        <v>4-05588</v>
      </c>
      <c r="H300" t="str">
        <f>'[2]LAB CIVIL'!C212</f>
        <v>CONO DE ASENTAMIENTO ABRAMS</v>
      </c>
      <c r="I300" s="5" t="str">
        <f>'[2]LAB CIVIL'!D212</f>
        <v>Regular</v>
      </c>
    </row>
    <row r="301" spans="1:9" x14ac:dyDescent="0.25">
      <c r="A301" s="4">
        <f t="shared" si="4"/>
        <v>300</v>
      </c>
      <c r="B301" s="4" t="s">
        <v>12</v>
      </c>
      <c r="C301" t="str">
        <f>'[2]LAB CIVIL'!$C$4</f>
        <v>DIEGO LEONARDO SIMONS LINARES</v>
      </c>
      <c r="E301" t="s">
        <v>13</v>
      </c>
      <c r="F301" t="s">
        <v>123</v>
      </c>
      <c r="G301" s="4" t="str">
        <f>'[2]LAB CIVIL'!B213</f>
        <v>4-07112</v>
      </c>
      <c r="H301" t="str">
        <f>'[2]LAB CIVIL'!C213</f>
        <v>CONO DE ARENA DE 6 5 MAS EQUIPO DE CALIBRACION DE ARENA MARCA MATEST CODIGO DE REFERENCIA S234-KIT PROCEDENICA ITALIA</v>
      </c>
      <c r="I301" s="5" t="str">
        <f>'[2]LAB CIVIL'!D213</f>
        <v>Regular</v>
      </c>
    </row>
    <row r="302" spans="1:9" x14ac:dyDescent="0.25">
      <c r="A302" s="4">
        <f t="shared" si="4"/>
        <v>301</v>
      </c>
      <c r="B302" s="4" t="s">
        <v>12</v>
      </c>
      <c r="C302" t="str">
        <f>'[2]LAB CIVIL'!$C$4</f>
        <v>DIEGO LEONARDO SIMONS LINARES</v>
      </c>
      <c r="E302" t="s">
        <v>13</v>
      </c>
      <c r="F302" t="s">
        <v>123</v>
      </c>
      <c r="G302" s="4" t="str">
        <f>'[2]LAB CIVIL'!B214</f>
        <v>4-07111</v>
      </c>
      <c r="H302" t="str">
        <f>'[2]LAB CIVIL'!C214</f>
        <v>CONO DE ARENA DE 6 5 MAS EQUIPO DE CALIBRACION DE ARENA MARCA MATEST CODIGO DE REFERENCIA S234-KIT PROCEDENICA ITALIA</v>
      </c>
      <c r="I302" s="5" t="str">
        <f>'[2]LAB CIVIL'!D214</f>
        <v>Regular</v>
      </c>
    </row>
    <row r="303" spans="1:9" x14ac:dyDescent="0.25">
      <c r="A303" s="4">
        <f t="shared" si="4"/>
        <v>302</v>
      </c>
      <c r="B303" s="4" t="s">
        <v>12</v>
      </c>
      <c r="C303" t="str">
        <f>'[2]LAB CIVIL'!$C$4</f>
        <v>DIEGO LEONARDO SIMONS LINARES</v>
      </c>
      <c r="E303" t="s">
        <v>13</v>
      </c>
      <c r="F303" t="s">
        <v>123</v>
      </c>
      <c r="G303" s="4" t="str">
        <f>'[2]LAB CIVIL'!B215</f>
        <v>4-07098</v>
      </c>
      <c r="H303" t="str">
        <f>'[2]LAB CIVIL'!C215</f>
        <v>MUESTRADOR DE PARED DELGADA TUBO SHELBY, DIMENSIONE BAJO NORMA ASTM D-1586 PARA MUESTRAS INALTERADAS DE 3,00' DE DIAMETRO</v>
      </c>
      <c r="I303" s="5" t="str">
        <f>'[2]LAB CIVIL'!D215</f>
        <v>Regular</v>
      </c>
    </row>
    <row r="304" spans="1:9" x14ac:dyDescent="0.25">
      <c r="A304" s="4">
        <f t="shared" si="4"/>
        <v>303</v>
      </c>
      <c r="B304" s="4" t="s">
        <v>12</v>
      </c>
      <c r="C304" t="str">
        <f>'[2]LAB CIVIL'!$C$4</f>
        <v>DIEGO LEONARDO SIMONS LINARES</v>
      </c>
      <c r="E304" t="s">
        <v>13</v>
      </c>
      <c r="F304" t="s">
        <v>123</v>
      </c>
      <c r="G304" s="4">
        <f>'[2]LAB CIVIL'!B216</f>
        <v>8737</v>
      </c>
      <c r="H304" t="str">
        <f>'[2]LAB CIVIL'!C216</f>
        <v>MUESTRADOR BI PARTIDO, DIMENSIONES BAJO NORMA ASTM D-1586 DE INDUSTRIA ESPA­OLA CON SU RESPECTIVA PUNTA DE LATA</v>
      </c>
      <c r="I304" s="5" t="str">
        <f>'[2]LAB CIVIL'!D216</f>
        <v>Regular</v>
      </c>
    </row>
    <row r="305" spans="1:9" x14ac:dyDescent="0.25">
      <c r="A305" s="4">
        <f t="shared" si="4"/>
        <v>304</v>
      </c>
      <c r="B305" s="4" t="s">
        <v>12</v>
      </c>
      <c r="C305" t="str">
        <f>'[2]LAB CIVIL'!$C$4</f>
        <v>DIEGO LEONARDO SIMONS LINARES</v>
      </c>
      <c r="E305" t="s">
        <v>13</v>
      </c>
      <c r="F305" t="s">
        <v>123</v>
      </c>
      <c r="G305" s="4">
        <f>'[2]LAB CIVIL'!B217</f>
        <v>8457</v>
      </c>
      <c r="H305" t="str">
        <f>'[2]LAB CIVIL'!C217</f>
        <v>TRIPODE DE EXPANSION P/CBR</v>
      </c>
      <c r="I305" s="5" t="str">
        <f>'[2]LAB CIVIL'!D217</f>
        <v>Regular</v>
      </c>
    </row>
    <row r="306" spans="1:9" x14ac:dyDescent="0.25">
      <c r="A306" s="4">
        <f t="shared" si="4"/>
        <v>305</v>
      </c>
      <c r="B306" s="4" t="s">
        <v>12</v>
      </c>
      <c r="C306" t="str">
        <f>'[2]LAB CIVIL'!$C$4</f>
        <v>DIEGO LEONARDO SIMONS LINARES</v>
      </c>
      <c r="E306" t="s">
        <v>13</v>
      </c>
      <c r="F306" t="s">
        <v>123</v>
      </c>
      <c r="G306" s="4">
        <f>'[2]LAB CIVIL'!B218</f>
        <v>7001</v>
      </c>
      <c r="H306" t="str">
        <f>'[2]LAB CIVIL'!C218</f>
        <v>TRIPODE DE EXPANASION, PARA CBRCON DIAL FABRICADO EN FUNDICION DE ALUMINIO, O ACERO EXTENCION DE 50.8MM</v>
      </c>
      <c r="I306" s="5" t="str">
        <f>'[2]LAB CIVIL'!D218</f>
        <v>Regular</v>
      </c>
    </row>
    <row r="307" spans="1:9" x14ac:dyDescent="0.25">
      <c r="A307" s="4">
        <f t="shared" si="4"/>
        <v>306</v>
      </c>
      <c r="B307" s="4" t="s">
        <v>12</v>
      </c>
      <c r="C307" t="str">
        <f>'[2]LAB CIVIL'!$C$4</f>
        <v>DIEGO LEONARDO SIMONS LINARES</v>
      </c>
      <c r="E307" t="s">
        <v>13</v>
      </c>
      <c r="F307" t="s">
        <v>123</v>
      </c>
      <c r="G307" s="4" t="s">
        <v>128</v>
      </c>
      <c r="H307" t="s">
        <v>130</v>
      </c>
      <c r="I307" s="5" t="s">
        <v>132</v>
      </c>
    </row>
    <row r="308" spans="1:9" x14ac:dyDescent="0.25">
      <c r="A308" s="4">
        <f t="shared" si="4"/>
        <v>307</v>
      </c>
      <c r="B308" s="4" t="s">
        <v>12</v>
      </c>
      <c r="C308" t="str">
        <f>'[2]LAB CIVIL'!$C$4</f>
        <v>DIEGO LEONARDO SIMONS LINARES</v>
      </c>
      <c r="E308" t="s">
        <v>13</v>
      </c>
      <c r="F308" t="s">
        <v>123</v>
      </c>
      <c r="G308" s="4" t="s">
        <v>129</v>
      </c>
      <c r="H308" t="s">
        <v>131</v>
      </c>
      <c r="I308" s="5" t="s">
        <v>132</v>
      </c>
    </row>
    <row r="309" spans="1:9" x14ac:dyDescent="0.25">
      <c r="A309" s="4">
        <f t="shared" si="4"/>
        <v>308</v>
      </c>
      <c r="B309" s="4" t="s">
        <v>12</v>
      </c>
      <c r="C309" t="str">
        <f>'[2]LAB CIVIL'!$C$4</f>
        <v>DIEGO LEONARDO SIMONS LINARES</v>
      </c>
      <c r="E309" t="s">
        <v>13</v>
      </c>
      <c r="F309" t="s">
        <v>123</v>
      </c>
      <c r="G309" s="4" t="str">
        <f>'[2]LAB CIVIL'!B219</f>
        <v>4-05614A</v>
      </c>
      <c r="H309" t="str">
        <f>'[2]LAB CIVIL'!C219</f>
        <v>TRIPODE DE ALUMINIO MARCA SOKKIA CON ESTUCHE DE PROTECCION, COLOR PLATEADO</v>
      </c>
      <c r="I309" s="5" t="str">
        <f>'[2]LAB CIVIL'!D219</f>
        <v>Regular</v>
      </c>
    </row>
    <row r="310" spans="1:9" x14ac:dyDescent="0.25">
      <c r="A310" s="4">
        <f t="shared" si="4"/>
        <v>309</v>
      </c>
      <c r="B310" s="4" t="s">
        <v>12</v>
      </c>
      <c r="C310" t="str">
        <f>'[2]LAB CIVIL'!$C$4</f>
        <v>DIEGO LEONARDO SIMONS LINARES</v>
      </c>
      <c r="E310" t="s">
        <v>13</v>
      </c>
      <c r="F310" t="s">
        <v>123</v>
      </c>
      <c r="G310" s="4" t="str">
        <f>'[2]LAB CIVIL'!B220</f>
        <v>4-08783</v>
      </c>
      <c r="H310" t="str">
        <f>'[2]LAB CIVIL'!C220</f>
        <v>BALANZA ELECTRONICA DE 30 KG, X 0,1 CON GANCHO PARA PESO BAJO BALANZA PUERTO A CONEXION A PC MARCA MATEST, MOD. V075-13</v>
      </c>
      <c r="I310" s="5" t="str">
        <f>'[2]LAB CIVIL'!D220</f>
        <v>Regular</v>
      </c>
    </row>
    <row r="311" spans="1:9" x14ac:dyDescent="0.25">
      <c r="A311" s="4">
        <f t="shared" si="4"/>
        <v>310</v>
      </c>
      <c r="B311" s="4" t="s">
        <v>12</v>
      </c>
      <c r="C311" t="str">
        <f>'[2]LAB CIVIL'!$C$4</f>
        <v>DIEGO LEONARDO SIMONS LINARES</v>
      </c>
      <c r="E311" t="s">
        <v>13</v>
      </c>
      <c r="F311" t="s">
        <v>123</v>
      </c>
      <c r="G311" s="4" t="str">
        <f>'[2]LAB CIVIL'!B221</f>
        <v>4-08782</v>
      </c>
      <c r="H311" t="str">
        <f>'[2]LAB CIVIL'!C221</f>
        <v>BALANZA ELECTRONICA DE 15 KG, X 0,1 CON GANCHO PARA PESO BAJO BALANZA PUERTO A CONEXION A PC MARCA MATEST, MOD. V075-12</v>
      </c>
      <c r="I311" s="5" t="str">
        <f>'[2]LAB CIVIL'!D221</f>
        <v>Regular</v>
      </c>
    </row>
    <row r="312" spans="1:9" x14ac:dyDescent="0.25">
      <c r="A312" s="4">
        <f t="shared" si="4"/>
        <v>311</v>
      </c>
      <c r="B312" s="4" t="s">
        <v>12</v>
      </c>
      <c r="C312" t="str">
        <f>'[2]LAB CIVIL'!$C$4</f>
        <v>DIEGO LEONARDO SIMONS LINARES</v>
      </c>
      <c r="E312" t="s">
        <v>13</v>
      </c>
      <c r="F312" t="s">
        <v>123</v>
      </c>
      <c r="G312" s="4" t="str">
        <f>'[2]LAB CIVIL'!B222</f>
        <v>4-11502</v>
      </c>
      <c r="H312" t="str">
        <f>'[2]LAB CIVIL'!C222</f>
        <v>BALANZA DE 60 KG DE CAPACIDAD MARCA RADWAG MODELO WLC 60/C2/R NUMERO DE SERIE 779963 PROCEDENCIA POLONIA</v>
      </c>
      <c r="I312" s="5" t="str">
        <f>'[2]LAB CIVIL'!D222</f>
        <v>Regular</v>
      </c>
    </row>
    <row r="313" spans="1:9" x14ac:dyDescent="0.25">
      <c r="A313" s="4">
        <f t="shared" si="4"/>
        <v>312</v>
      </c>
      <c r="B313" s="4" t="s">
        <v>12</v>
      </c>
      <c r="C313" t="str">
        <f>'[2]LAB CIVIL'!$C$4</f>
        <v>DIEGO LEONARDO SIMONS LINARES</v>
      </c>
      <c r="E313" t="s">
        <v>13</v>
      </c>
      <c r="F313" t="s">
        <v>123</v>
      </c>
      <c r="G313" s="4" t="str">
        <f>'[2]LAB CIVIL'!B223</f>
        <v>4-11500</v>
      </c>
      <c r="H313" t="str">
        <f>'[2]LAB CIVIL'!C223</f>
        <v>BALANZA DE PRECISION MARCA RADWAG MODELO PS 3500.R1.M NUMERO DE SERIE 758112 PROCEDENCIA POLONIA</v>
      </c>
      <c r="I313" s="5" t="str">
        <f>'[2]LAB CIVIL'!D223</f>
        <v>Regular</v>
      </c>
    </row>
    <row r="314" spans="1:9" x14ac:dyDescent="0.25">
      <c r="A314" s="4">
        <f t="shared" si="4"/>
        <v>313</v>
      </c>
      <c r="B314" s="4" t="s">
        <v>12</v>
      </c>
      <c r="C314" t="str">
        <f>'[2]LAB CIVIL'!$C$4</f>
        <v>DIEGO LEONARDO SIMONS LINARES</v>
      </c>
      <c r="E314" t="s">
        <v>13</v>
      </c>
      <c r="F314" t="s">
        <v>123</v>
      </c>
      <c r="G314" s="4" t="str">
        <f>'[2]LAB CIVIL'!B224</f>
        <v>4-11499</v>
      </c>
      <c r="H314" t="str">
        <f>'[2]LAB CIVIL'!C224</f>
        <v>BALANZA DE PRECISION MARCA RADWAG MODELO PS 3500.R1.M NUMERO DE SERIE 758110 PROCEDENCIA POLONIA</v>
      </c>
      <c r="I314" s="5" t="str">
        <f>'[2]LAB CIVIL'!D224</f>
        <v>Regular</v>
      </c>
    </row>
    <row r="315" spans="1:9" x14ac:dyDescent="0.25">
      <c r="A315" s="4">
        <f t="shared" si="4"/>
        <v>314</v>
      </c>
      <c r="B315" s="4" t="s">
        <v>12</v>
      </c>
      <c r="C315" t="str">
        <f>'[2]LAB CIVIL'!$C$4</f>
        <v>DIEGO LEONARDO SIMONS LINARES</v>
      </c>
      <c r="E315" t="s">
        <v>13</v>
      </c>
      <c r="F315" t="s">
        <v>123</v>
      </c>
      <c r="G315" s="4" t="str">
        <f>'[2]LAB CIVIL'!B225</f>
        <v>4-08793</v>
      </c>
      <c r="H315" t="str">
        <f>'[2]LAB CIVIL'!C225</f>
        <v>COMPACTADOR MARSHALL AUTOMATICO MARCA MASTEST MOD. B033-01N, COMPACTADOR AUTOMATICO,ALIMENTACION 1HP 50HZ, 300W.</v>
      </c>
      <c r="I315" s="5" t="str">
        <f>'[2]LAB CIVIL'!D225</f>
        <v>Regular</v>
      </c>
    </row>
    <row r="316" spans="1:9" x14ac:dyDescent="0.25">
      <c r="A316" s="4">
        <f t="shared" si="4"/>
        <v>315</v>
      </c>
      <c r="B316" s="4" t="s">
        <v>12</v>
      </c>
      <c r="C316" t="str">
        <f>'[2]LAB CIVIL'!$C$4</f>
        <v>DIEGO LEONARDO SIMONS LINARES</v>
      </c>
      <c r="E316" t="s">
        <v>13</v>
      </c>
      <c r="F316" t="s">
        <v>123</v>
      </c>
      <c r="G316" s="4" t="str">
        <f>'[2]LAB CIVIL'!B226</f>
        <v>4-011294</v>
      </c>
      <c r="H316" t="str">
        <f>'[2]LAB CIVIL'!C226</f>
        <v>EXTRACTOR UNIVERSAL MARCA MATEST MODELO S114 PROCEDENCIA ITALIA SERIE S114/BC/0009</v>
      </c>
      <c r="I316" s="5" t="str">
        <f>'[2]LAB CIVIL'!D226</f>
        <v>Regular</v>
      </c>
    </row>
    <row r="317" spans="1:9" x14ac:dyDescent="0.25">
      <c r="A317" s="4">
        <f t="shared" si="4"/>
        <v>316</v>
      </c>
      <c r="B317" s="4" t="s">
        <v>12</v>
      </c>
      <c r="C317" t="str">
        <f>'[2]LAB CIVIL'!$C$4</f>
        <v>DIEGO LEONARDO SIMONS LINARES</v>
      </c>
      <c r="E317" t="s">
        <v>13</v>
      </c>
      <c r="F317" t="s">
        <v>123</v>
      </c>
      <c r="G317" s="4" t="str">
        <f>'[2]LAB CIVIL'!B227</f>
        <v>4-011293</v>
      </c>
      <c r="H317" t="str">
        <f>'[2]LAB CIVIL'!C227</f>
        <v>EXTRACTOR UNIVERSAL MARCA MATEST MODELO S114 PROCEDENCIA ITALIA SERIE S114/BC/0004</v>
      </c>
      <c r="I317" s="5" t="str">
        <f>'[2]LAB CIVIL'!D227</f>
        <v>Regular</v>
      </c>
    </row>
    <row r="318" spans="1:9" x14ac:dyDescent="0.25">
      <c r="A318" s="4">
        <f t="shared" si="4"/>
        <v>317</v>
      </c>
      <c r="B318" s="4" t="s">
        <v>12</v>
      </c>
      <c r="C318" t="str">
        <f>'[2]LAB CIVIL'!$C$4</f>
        <v>DIEGO LEONARDO SIMONS LINARES</v>
      </c>
      <c r="E318" t="s">
        <v>13</v>
      </c>
      <c r="F318" t="s">
        <v>123</v>
      </c>
      <c r="G318" s="4" t="str">
        <f>'[2]LAB CIVIL'!B228</f>
        <v>4-011352</v>
      </c>
      <c r="H318" t="str">
        <f>'[2]LAB CIVIL'!C228</f>
        <v>EXTRACTOR CENTRIFUGO MARCA MATEST MODELO B011 PROCEDENCIA DE ITALIA SERIE B011/BC/0017</v>
      </c>
      <c r="I318" s="5" t="str">
        <f>'[2]LAB CIVIL'!D228</f>
        <v>Regular</v>
      </c>
    </row>
    <row r="319" spans="1:9" x14ac:dyDescent="0.25">
      <c r="A319" s="4">
        <f t="shared" si="4"/>
        <v>318</v>
      </c>
      <c r="B319" s="4" t="s">
        <v>12</v>
      </c>
      <c r="C319" t="str">
        <f>'[2]LAB CIVIL'!$C$4</f>
        <v>DIEGO LEONARDO SIMONS LINARES</v>
      </c>
      <c r="E319" t="s">
        <v>13</v>
      </c>
      <c r="F319" t="s">
        <v>123</v>
      </c>
      <c r="G319" s="4" t="str">
        <f>'[2]LAB CIVIL'!B229</f>
        <v>4-05630</v>
      </c>
      <c r="H319" t="str">
        <f>'[2]LAB CIVIL'!C229</f>
        <v>CAZUELA CASA GRANDE BASE DE MADERA CON MANIVELA MANUAL</v>
      </c>
      <c r="I319" s="5" t="str">
        <f>'[2]LAB CIVIL'!D229</f>
        <v>Regular</v>
      </c>
    </row>
    <row r="320" spans="1:9" x14ac:dyDescent="0.25">
      <c r="A320" s="4">
        <f t="shared" si="4"/>
        <v>319</v>
      </c>
      <c r="B320" s="4" t="s">
        <v>12</v>
      </c>
      <c r="C320" t="str">
        <f>'[2]LAB CIVIL'!$C$4</f>
        <v>DIEGO LEONARDO SIMONS LINARES</v>
      </c>
      <c r="E320" t="s">
        <v>13</v>
      </c>
      <c r="F320" t="s">
        <v>123</v>
      </c>
      <c r="G320" s="4" t="str">
        <f>'[2]LAB CIVIL'!B230</f>
        <v>4-011355</v>
      </c>
      <c r="H320" t="str">
        <f>'[2]LAB CIVIL'!C230</f>
        <v>CLEVELAND DE VASO ABIERTO PARA PUNTO DE INFLAMACION Y COMBUSTION MARCA MATEST MODELO B086 KIT PROCEDENCIA ITALIA SERIE B086BB/0044</v>
      </c>
      <c r="I320" s="5" t="str">
        <f>'[2]LAB CIVIL'!D230</f>
        <v>Regular</v>
      </c>
    </row>
    <row r="321" spans="1:9" x14ac:dyDescent="0.25">
      <c r="A321" s="4">
        <f t="shared" si="4"/>
        <v>320</v>
      </c>
      <c r="B321" s="4" t="s">
        <v>12</v>
      </c>
      <c r="C321" t="str">
        <f>'[2]LAB CIVIL'!$C$4</f>
        <v>DIEGO LEONARDO SIMONS LINARES</v>
      </c>
      <c r="E321" t="s">
        <v>13</v>
      </c>
      <c r="F321" t="s">
        <v>123</v>
      </c>
      <c r="G321" s="4" t="str">
        <f>'[2]LAB CIVIL'!B231</f>
        <v>4-011323</v>
      </c>
      <c r="H321" t="str">
        <f>'[2]LAB CIVIL'!C231</f>
        <v>TALLADOR PARA SUELOS MARCA MATEST MODELO S120 PROCEDENCIA DE ITALIA SERIE S120/BB/0017</v>
      </c>
      <c r="I321" s="5" t="str">
        <f>'[2]LAB CIVIL'!D231</f>
        <v>Regular</v>
      </c>
    </row>
    <row r="322" spans="1:9" x14ac:dyDescent="0.25">
      <c r="A322" s="4">
        <f t="shared" si="4"/>
        <v>321</v>
      </c>
      <c r="B322" s="4" t="s">
        <v>12</v>
      </c>
      <c r="C322" t="str">
        <f>'[2]LAB CIVIL'!$C$4</f>
        <v>DIEGO LEONARDO SIMONS LINARES</v>
      </c>
      <c r="E322" t="s">
        <v>13</v>
      </c>
      <c r="F322" t="s">
        <v>123</v>
      </c>
      <c r="G322" s="4" t="str">
        <f>'[2]LAB CIVIL'!B232</f>
        <v>4-08790</v>
      </c>
      <c r="H322" t="str">
        <f>'[2]LAB CIVIL'!C232</f>
        <v>EQUIPODE ENSAYO DCP MATEST MOD. S051, MARTILLO DESLIZABLE CON BARRA DE ACCIONAMIENTO VARILLA CON PUNTA CONICA DE 60¬ DIAMETRO DE 20MM.</v>
      </c>
      <c r="I322" s="5" t="str">
        <f>'[2]LAB CIVIL'!D232</f>
        <v>Regular</v>
      </c>
    </row>
    <row r="323" spans="1:9" x14ac:dyDescent="0.25">
      <c r="A323" s="4">
        <f t="shared" si="4"/>
        <v>322</v>
      </c>
      <c r="B323" s="4" t="s">
        <v>12</v>
      </c>
      <c r="C323" t="str">
        <f>'[2]LAB CIVIL'!$C$4</f>
        <v>DIEGO LEONARDO SIMONS LINARES</v>
      </c>
      <c r="E323" t="s">
        <v>13</v>
      </c>
      <c r="F323" t="s">
        <v>123</v>
      </c>
      <c r="G323" s="4" t="str">
        <f>'[2]LAB CIVIL'!B233</f>
        <v>4-011339</v>
      </c>
      <c r="H323" t="str">
        <f>'[2]LAB CIVIL'!C233</f>
        <v>EQUIPO PARA ENSAYO SPT MARCA MATEST MODELO MOTORIZED CATHEAD KIT PROCEDENCIA DE USA SERIE 025060-3</v>
      </c>
      <c r="I323" s="5" t="str">
        <f>'[2]LAB CIVIL'!D233</f>
        <v>Regular</v>
      </c>
    </row>
    <row r="324" spans="1:9" x14ac:dyDescent="0.25">
      <c r="A324" s="4">
        <f t="shared" ref="A324:A387" si="5">A323+1</f>
        <v>323</v>
      </c>
      <c r="B324" s="4" t="s">
        <v>12</v>
      </c>
      <c r="C324" t="str">
        <f>'[2]LAB CIVIL'!$C$4</f>
        <v>DIEGO LEONARDO SIMONS LINARES</v>
      </c>
      <c r="E324" t="s">
        <v>13</v>
      </c>
      <c r="F324" t="s">
        <v>123</v>
      </c>
      <c r="G324" s="4" t="str">
        <f>'[2]LAB CIVIL'!B234</f>
        <v>4-05608</v>
      </c>
      <c r="H324" t="str">
        <f>'[2]LAB CIVIL'!C234</f>
        <v>MOLDES PARA PRUEBA DE COMPACTACION PROCTER STANDARD</v>
      </c>
      <c r="I324" s="5" t="str">
        <f>'[2]LAB CIVIL'!D234</f>
        <v>Regular</v>
      </c>
    </row>
    <row r="325" spans="1:9" x14ac:dyDescent="0.25">
      <c r="A325" s="4">
        <f t="shared" si="5"/>
        <v>324</v>
      </c>
      <c r="B325" s="4" t="s">
        <v>12</v>
      </c>
      <c r="C325" t="str">
        <f>'[2]LAB CIVIL'!$C$4</f>
        <v>DIEGO LEONARDO SIMONS LINARES</v>
      </c>
      <c r="E325" t="s">
        <v>13</v>
      </c>
      <c r="F325" t="s">
        <v>123</v>
      </c>
      <c r="G325" s="4" t="str">
        <f>'[2]LAB CIVIL'!B235</f>
        <v>4-05607</v>
      </c>
      <c r="H325" t="str">
        <f>'[2]LAB CIVIL'!C235</f>
        <v>MOLDES PARA PRUEBA DE COMPACTACION PROCTER STANDARD</v>
      </c>
      <c r="I325" s="5" t="str">
        <f>'[2]LAB CIVIL'!D235</f>
        <v>Regular</v>
      </c>
    </row>
    <row r="326" spans="1:9" x14ac:dyDescent="0.25">
      <c r="A326" s="4">
        <f t="shared" si="5"/>
        <v>325</v>
      </c>
      <c r="B326" s="4" t="s">
        <v>12</v>
      </c>
      <c r="C326" t="str">
        <f>'[2]LAB CIVIL'!$C$4</f>
        <v>DIEGO LEONARDO SIMONS LINARES</v>
      </c>
      <c r="E326" t="s">
        <v>13</v>
      </c>
      <c r="F326" t="s">
        <v>123</v>
      </c>
      <c r="G326" s="4" t="str">
        <f>'[2]LAB CIVIL'!B236</f>
        <v>4-05606</v>
      </c>
      <c r="H326" t="str">
        <f>'[2]LAB CIVIL'!C236</f>
        <v>MOLDES PARA PRUEBA DE COMPACTACION PROCTER STANDARD</v>
      </c>
      <c r="I326" s="5" t="str">
        <f>'[2]LAB CIVIL'!D236</f>
        <v>Regular</v>
      </c>
    </row>
    <row r="327" spans="1:9" x14ac:dyDescent="0.25">
      <c r="A327" s="4">
        <f t="shared" si="5"/>
        <v>326</v>
      </c>
      <c r="B327" s="4" t="s">
        <v>12</v>
      </c>
      <c r="C327" t="str">
        <f>'[2]LAB CIVIL'!$C$4</f>
        <v>DIEGO LEONARDO SIMONS LINARES</v>
      </c>
      <c r="E327" t="s">
        <v>13</v>
      </c>
      <c r="F327" t="s">
        <v>123</v>
      </c>
      <c r="G327" s="4" t="str">
        <f>'[2]LAB CIVIL'!B237</f>
        <v>4-04113A</v>
      </c>
      <c r="H327" t="str">
        <f>'[2]LAB CIVIL'!C237</f>
        <v>MOLDES PARA PRUEBAS DE COMPACTACION PROCTOR MODIFICADO, MARCA MATEST, CODIGO DE REFERENCIA S186, PROCEDENCIA ITALIA, COLOR PLATA, CANTIDAD DE PIEZAS 2</v>
      </c>
      <c r="I327" s="5" t="str">
        <f>'[2]LAB CIVIL'!D237</f>
        <v>Regular</v>
      </c>
    </row>
    <row r="328" spans="1:9" x14ac:dyDescent="0.25">
      <c r="A328" s="4">
        <f t="shared" si="5"/>
        <v>327</v>
      </c>
      <c r="B328" s="4" t="s">
        <v>12</v>
      </c>
      <c r="C328" t="str">
        <f>'[2]LAB CIVIL'!$C$4</f>
        <v>DIEGO LEONARDO SIMONS LINARES</v>
      </c>
      <c r="E328" t="s">
        <v>13</v>
      </c>
      <c r="F328" t="s">
        <v>123</v>
      </c>
      <c r="G328" s="4" t="str">
        <f>'[2]LAB CIVIL'!B238</f>
        <v>4-07105</v>
      </c>
      <c r="H328" t="str">
        <f>'[2]LAB CIVIL'!C238</f>
        <v>MOLDE PARA PRUEBAS DE COMPACTACION PROCTOR MODIFICADO, MARCA MATEST, MODELO S186, PROCEDENCIA ITALIA, CANTIDAD DE PIEZAS 2, COLOR PLATA</v>
      </c>
      <c r="I328" s="5" t="str">
        <f>'[2]LAB CIVIL'!D238</f>
        <v>Regular</v>
      </c>
    </row>
    <row r="329" spans="1:9" x14ac:dyDescent="0.25">
      <c r="A329" s="4">
        <f t="shared" si="5"/>
        <v>328</v>
      </c>
      <c r="B329" s="4" t="s">
        <v>12</v>
      </c>
      <c r="C329" t="str">
        <f>'[2]LAB CIVIL'!$C$4</f>
        <v>DIEGO LEONARDO SIMONS LINARES</v>
      </c>
      <c r="E329" t="s">
        <v>13</v>
      </c>
      <c r="F329" t="s">
        <v>123</v>
      </c>
      <c r="G329" s="4" t="str">
        <f>'[2]LAB CIVIL'!B239</f>
        <v>4-05609A</v>
      </c>
      <c r="H329" t="str">
        <f>'[2]LAB CIVIL'!C239</f>
        <v>MOLDES PARA PRUEBA DE COMPACTACION PROCTOR MODIFICADO</v>
      </c>
      <c r="I329" s="5" t="str">
        <f>'[2]LAB CIVIL'!D239</f>
        <v>Regular</v>
      </c>
    </row>
    <row r="330" spans="1:9" x14ac:dyDescent="0.25">
      <c r="A330" s="4">
        <f t="shared" si="5"/>
        <v>329</v>
      </c>
      <c r="B330" s="4" t="s">
        <v>12</v>
      </c>
      <c r="C330" t="str">
        <f>'[2]LAB CIVIL'!$C$4</f>
        <v>DIEGO LEONARDO SIMONS LINARES</v>
      </c>
      <c r="E330" t="s">
        <v>13</v>
      </c>
      <c r="F330" t="s">
        <v>123</v>
      </c>
      <c r="G330" s="4" t="str">
        <f>'[2]LAB CIVIL'!B240</f>
        <v>4-05604</v>
      </c>
      <c r="H330" t="str">
        <f>'[2]LAB CIVIL'!C240</f>
        <v>MOLDES PARA PRUEBA DE COMPACTACION PROCTOR MODIFICADO</v>
      </c>
      <c r="I330" s="5" t="str">
        <f>'[2]LAB CIVIL'!D240</f>
        <v>Regular</v>
      </c>
    </row>
    <row r="331" spans="1:9" x14ac:dyDescent="0.25">
      <c r="A331" s="4">
        <f t="shared" si="5"/>
        <v>330</v>
      </c>
      <c r="B331" s="4" t="s">
        <v>12</v>
      </c>
      <c r="C331" t="str">
        <f>'[2]LAB CIVIL'!$C$4</f>
        <v>DIEGO LEONARDO SIMONS LINARES</v>
      </c>
      <c r="E331" t="s">
        <v>13</v>
      </c>
      <c r="F331" t="s">
        <v>123</v>
      </c>
      <c r="G331" s="4" t="str">
        <f>'[2]LAB CIVIL'!B241</f>
        <v>4-05603</v>
      </c>
      <c r="H331" t="str">
        <f>'[2]LAB CIVIL'!C241</f>
        <v>MOLDES PARA PRUEBA DE COMPACTACION PROCTOR MODIFICADO</v>
      </c>
      <c r="I331" s="5" t="str">
        <f>'[2]LAB CIVIL'!D241</f>
        <v>Regular</v>
      </c>
    </row>
    <row r="332" spans="1:9" x14ac:dyDescent="0.25">
      <c r="A332" s="4">
        <f t="shared" si="5"/>
        <v>331</v>
      </c>
      <c r="B332" s="4" t="s">
        <v>12</v>
      </c>
      <c r="C332" t="str">
        <f>'[2]LAB CIVIL'!$C$4</f>
        <v>DIEGO LEONARDO SIMONS LINARES</v>
      </c>
      <c r="E332" t="s">
        <v>13</v>
      </c>
      <c r="F332" t="s">
        <v>123</v>
      </c>
      <c r="G332" s="4" t="str">
        <f>'[2]LAB CIVIL'!B242</f>
        <v>4-07107</v>
      </c>
      <c r="H332" t="str">
        <f>'[2]LAB CIVIL'!C242</f>
        <v>MOLDES DE COMPACTACION MARSHALL, MARCA MATEST, MODELO B030-KIT, PROCEDENCIA ITALIA, CANTIDAD DE PIEZAS 5, COLOR BRONCE.</v>
      </c>
      <c r="I332" s="5" t="str">
        <f>'[2]LAB CIVIL'!D242</f>
        <v>Regular</v>
      </c>
    </row>
    <row r="333" spans="1:9" x14ac:dyDescent="0.25">
      <c r="A333" s="4">
        <f t="shared" si="5"/>
        <v>332</v>
      </c>
      <c r="B333" s="4" t="s">
        <v>12</v>
      </c>
      <c r="C333" t="str">
        <f>'[2]LAB CIVIL'!$C$4</f>
        <v>DIEGO LEONARDO SIMONS LINARES</v>
      </c>
      <c r="E333" t="s">
        <v>13</v>
      </c>
      <c r="F333" t="s">
        <v>123</v>
      </c>
      <c r="G333" s="4" t="str">
        <f>'[2]LAB CIVIL'!B243</f>
        <v>4-07106</v>
      </c>
      <c r="H333" t="str">
        <f>'[2]LAB CIVIL'!C243</f>
        <v>MOLDES DE COMPACTACION MARSHALL, MARCA MATEST, MODELO B030-KIT, PROCEDENCIA ITALIA, CANTIDAD DE PIEZAS 5, COLOR BRONCE.</v>
      </c>
      <c r="I333" s="5" t="str">
        <f>'[2]LAB CIVIL'!D243</f>
        <v>Regular</v>
      </c>
    </row>
    <row r="334" spans="1:9" x14ac:dyDescent="0.25">
      <c r="A334" s="4">
        <f t="shared" si="5"/>
        <v>333</v>
      </c>
      <c r="B334" s="4" t="s">
        <v>12</v>
      </c>
      <c r="C334" t="str">
        <f>'[2]LAB CIVIL'!$C$4</f>
        <v>DIEGO LEONARDO SIMONS LINARES</v>
      </c>
      <c r="E334" t="s">
        <v>13</v>
      </c>
      <c r="F334" t="s">
        <v>123</v>
      </c>
      <c r="G334" s="4" t="str">
        <f>'[2]LAB CIVIL'!B244</f>
        <v>4-05610</v>
      </c>
      <c r="H334" t="str">
        <f>'[2]LAB CIVIL'!C244</f>
        <v>MOLDES PARA PRUEBA DE COMPACTACION CBR INCLUYY UNA CERRADA DE 2.27 KG. ESPESOR DE 6.35MM DIAMETRO INTERNO 53.98 MM EXTERNO 149.23</v>
      </c>
      <c r="I334" s="5" t="str">
        <f>'[2]LAB CIVIL'!D244</f>
        <v>Regular</v>
      </c>
    </row>
    <row r="335" spans="1:9" x14ac:dyDescent="0.25">
      <c r="A335" s="4">
        <f t="shared" si="5"/>
        <v>334</v>
      </c>
      <c r="B335" s="4" t="s">
        <v>12</v>
      </c>
      <c r="C335" t="str">
        <f>'[2]LAB CIVIL'!$C$4</f>
        <v>DIEGO LEONARDO SIMONS LINARES</v>
      </c>
      <c r="E335" t="s">
        <v>13</v>
      </c>
      <c r="F335" t="s">
        <v>123</v>
      </c>
      <c r="G335" s="4" t="str">
        <f>'[2]LAB CIVIL'!B245</f>
        <v>4-05602</v>
      </c>
      <c r="H335" t="str">
        <f>'[2]LAB CIVIL'!C245</f>
        <v>MOLDES PARA PRUEBA DE COMPACTACION CBR INCLUYY UNA CERRADA DE 2.27 KG. ESPESOR DE 6.35MM DIAMETRO INTERNO 53.98 MM EXTERNO 149.23</v>
      </c>
      <c r="I335" s="5" t="str">
        <f>'[2]LAB CIVIL'!D245</f>
        <v>Regular</v>
      </c>
    </row>
    <row r="336" spans="1:9" x14ac:dyDescent="0.25">
      <c r="A336" s="4">
        <f t="shared" si="5"/>
        <v>335</v>
      </c>
      <c r="B336" s="4" t="s">
        <v>12</v>
      </c>
      <c r="C336" t="str">
        <f>'[2]LAB CIVIL'!$C$4</f>
        <v>DIEGO LEONARDO SIMONS LINARES</v>
      </c>
      <c r="E336" t="s">
        <v>13</v>
      </c>
      <c r="F336" t="s">
        <v>123</v>
      </c>
      <c r="G336" s="4" t="str">
        <f>'[2]LAB CIVIL'!B246</f>
        <v>4-05599A</v>
      </c>
      <c r="H336" t="str">
        <f>'[2]LAB CIVIL'!C246</f>
        <v>MOLDES PARA PRUEBA DE COMPACTACION CBR INCLUYY UNA CERRADA DE 2.27 KG. ESPESOR DE 6.35MM DIAMETRO INTERNO 53.98 MM EXTERNO 149.23</v>
      </c>
      <c r="I336" s="5" t="str">
        <f>'[2]LAB CIVIL'!D246</f>
        <v>Regular</v>
      </c>
    </row>
    <row r="337" spans="1:9" x14ac:dyDescent="0.25">
      <c r="A337" s="4">
        <f t="shared" si="5"/>
        <v>336</v>
      </c>
      <c r="B337" s="4" t="s">
        <v>12</v>
      </c>
      <c r="C337" t="str">
        <f>'[2]LAB CIVIL'!$C$4</f>
        <v>DIEGO LEONARDO SIMONS LINARES</v>
      </c>
      <c r="E337" t="s">
        <v>13</v>
      </c>
      <c r="F337" t="s">
        <v>123</v>
      </c>
      <c r="G337" s="4" t="str">
        <f>'[2]LAB CIVIL'!B247</f>
        <v>4-05598</v>
      </c>
      <c r="H337" t="str">
        <f>'[2]LAB CIVIL'!C247</f>
        <v>MOLDES PARA PRUEBA DE COMPACTACION CBR INCLUYY UNA CERRADA DE 2.27 KG. ESPESOR DE 6.35MM DIAMETRO INTERNO 53.98 MM EXTERNO 149.23</v>
      </c>
      <c r="I337" s="5" t="str">
        <f>'[2]LAB CIVIL'!D247</f>
        <v>Regular</v>
      </c>
    </row>
    <row r="338" spans="1:9" x14ac:dyDescent="0.25">
      <c r="A338" s="4">
        <f t="shared" si="5"/>
        <v>337</v>
      </c>
      <c r="B338" s="4" t="s">
        <v>12</v>
      </c>
      <c r="C338" t="str">
        <f>'[2]LAB CIVIL'!$C$4</f>
        <v>DIEGO LEONARDO SIMONS LINARES</v>
      </c>
      <c r="E338" t="s">
        <v>13</v>
      </c>
      <c r="F338" t="s">
        <v>123</v>
      </c>
      <c r="G338" s="4" t="str">
        <f>'[2]LAB CIVIL'!B248</f>
        <v>4-05592</v>
      </c>
      <c r="H338" t="str">
        <f>'[2]LAB CIVIL'!C248</f>
        <v>MOLDES PARA PRUEBA DE COMPACTACION CBR INCLUYY UNA CERRADA DE 2.27 KG. ESPESOR DE 6.35MM DIAMETRO INTERNO 53.98 MM EXTERNO 149.23</v>
      </c>
      <c r="I338" s="5" t="str">
        <f>'[2]LAB CIVIL'!D248</f>
        <v>Regular</v>
      </c>
    </row>
    <row r="339" spans="1:9" x14ac:dyDescent="0.25">
      <c r="A339" s="4">
        <f t="shared" si="5"/>
        <v>338</v>
      </c>
      <c r="B339" s="4" t="s">
        <v>12</v>
      </c>
      <c r="C339" t="str">
        <f>'[2]LAB CIVIL'!$C$4</f>
        <v>DIEGO LEONARDO SIMONS LINARES</v>
      </c>
      <c r="E339" t="s">
        <v>13</v>
      </c>
      <c r="F339" t="s">
        <v>123</v>
      </c>
      <c r="G339" s="4" t="str">
        <f>'[2]LAB CIVIL'!B249</f>
        <v>4-05590</v>
      </c>
      <c r="H339" t="str">
        <f>'[2]LAB CIVIL'!C249</f>
        <v>MOLDES PARA PRUEBA DE COMPACTACION CBR INCLUYY UNA CERRADA DE 2.27 KG. ESPESOR DE 6.35MM DIAMETRO INTERNO 53.98 MM EXTERNO 149.23</v>
      </c>
      <c r="I339" s="5" t="str">
        <f>'[2]LAB CIVIL'!D249</f>
        <v>Regular</v>
      </c>
    </row>
    <row r="340" spans="1:9" x14ac:dyDescent="0.25">
      <c r="A340" s="4">
        <f t="shared" si="5"/>
        <v>339</v>
      </c>
      <c r="B340" s="4" t="s">
        <v>12</v>
      </c>
      <c r="C340" t="str">
        <f>'[2]LAB CIVIL'!$C$4</f>
        <v>DIEGO LEONARDO SIMONS LINARES</v>
      </c>
      <c r="E340" t="s">
        <v>13</v>
      </c>
      <c r="F340" t="s">
        <v>123</v>
      </c>
      <c r="G340" s="4" t="str">
        <f>'[2]LAB CIVIL'!B250</f>
        <v>4-05592A</v>
      </c>
      <c r="H340" t="str">
        <f>'[2]LAB CIVIL'!C250</f>
        <v>MOLDES PARA PRUEBAS DE COMPACTACION INCLUYE UN JUEGO DE PESAS, UNA ABIERTA Y OTRA CERRADA, UNA PLACA DE EXPANSION, TODO DE ACERO INOXIDABLE</v>
      </c>
      <c r="I340" s="5" t="str">
        <f>'[2]LAB CIVIL'!D250</f>
        <v>Regular</v>
      </c>
    </row>
    <row r="341" spans="1:9" x14ac:dyDescent="0.25">
      <c r="A341" s="4">
        <f t="shared" si="5"/>
        <v>340</v>
      </c>
      <c r="B341" s="4" t="s">
        <v>12</v>
      </c>
      <c r="C341" t="str">
        <f>'[2]LAB CIVIL'!$C$4</f>
        <v>DIEGO LEONARDO SIMONS LINARES</v>
      </c>
      <c r="E341" t="s">
        <v>13</v>
      </c>
      <c r="F341" t="s">
        <v>123</v>
      </c>
      <c r="G341" s="4" t="str">
        <f>'[2]LAB CIVIL'!B251</f>
        <v>4-05597</v>
      </c>
      <c r="H341" t="str">
        <f>'[2]LAB CIVIL'!C251</f>
        <v>MOLDES PARA PRUEBAS DE COMPACTACION INCLUYE UN JUEGO DE PESA, UNA ABIERTA Y OTRA CERRADA, UNA PLACA DE EXPANSION, TODO DE ACERO INOXIDABLE</v>
      </c>
      <c r="I341" s="5" t="str">
        <f>'[2]LAB CIVIL'!D251</f>
        <v>Regular</v>
      </c>
    </row>
    <row r="342" spans="1:9" x14ac:dyDescent="0.25">
      <c r="A342" s="4">
        <f t="shared" si="5"/>
        <v>341</v>
      </c>
      <c r="B342" s="4" t="s">
        <v>12</v>
      </c>
      <c r="C342" t="str">
        <f>'[2]LAB CIVIL'!$C$4</f>
        <v>DIEGO LEONARDO SIMONS LINARES</v>
      </c>
      <c r="E342" t="s">
        <v>13</v>
      </c>
      <c r="F342" t="s">
        <v>123</v>
      </c>
      <c r="G342" s="4" t="str">
        <f>'[2]LAB CIVIL'!B252</f>
        <v>4-05591</v>
      </c>
      <c r="H342" t="str">
        <f>'[2]LAB CIVIL'!C252</f>
        <v>MOLDES PARA PRUEBAS DE COMPACTACION INCLUYE UN JUEGO DE PESA, UNA ABIERTA Y OTRA CERRADA, UNA PLACA DE EXPANSION, TODO DE ACERO INOXIDABLE</v>
      </c>
      <c r="I342" s="5" t="str">
        <f>'[2]LAB CIVIL'!D252</f>
        <v>Regular</v>
      </c>
    </row>
    <row r="343" spans="1:9" x14ac:dyDescent="0.25">
      <c r="A343" s="4">
        <f t="shared" si="5"/>
        <v>342</v>
      </c>
      <c r="B343" s="4" t="s">
        <v>12</v>
      </c>
      <c r="C343" t="str">
        <f>'[2]LAB CIVIL'!$C$4</f>
        <v>DIEGO LEONARDO SIMONS LINARES</v>
      </c>
      <c r="E343" t="s">
        <v>13</v>
      </c>
      <c r="F343" t="s">
        <v>123</v>
      </c>
      <c r="G343" s="4" t="str">
        <f>'[2]LAB CIVIL'!B253</f>
        <v>4-05612</v>
      </c>
      <c r="H343" t="str">
        <f>'[2]LAB CIVIL'!C253</f>
        <v>JUEGO DWE MOLDE PARA PRUEBA DE COMPACTACION CBR (H4151)</v>
      </c>
      <c r="I343" s="5" t="str">
        <f>'[2]LAB CIVIL'!D253</f>
        <v>Regular</v>
      </c>
    </row>
    <row r="344" spans="1:9" x14ac:dyDescent="0.25">
      <c r="A344" s="4">
        <f t="shared" si="5"/>
        <v>343</v>
      </c>
      <c r="B344" s="4" t="s">
        <v>12</v>
      </c>
      <c r="C344" t="str">
        <f>'[2]LAB CIVIL'!$C$4</f>
        <v>DIEGO LEONARDO SIMONS LINARES</v>
      </c>
      <c r="E344" t="s">
        <v>13</v>
      </c>
      <c r="F344" t="s">
        <v>123</v>
      </c>
      <c r="G344" s="4" t="str">
        <f>'[2]LAB CIVIL'!B254</f>
        <v>4-05601</v>
      </c>
      <c r="H344" t="str">
        <f>'[2]LAB CIVIL'!C254</f>
        <v>JUEGO DWE MOLDE PARA PRUEBA DE COMPACTACION CBR (H4151)</v>
      </c>
      <c r="I344" s="5" t="str">
        <f>'[2]LAB CIVIL'!D254</f>
        <v>Regular</v>
      </c>
    </row>
    <row r="345" spans="1:9" x14ac:dyDescent="0.25">
      <c r="A345" s="4">
        <f t="shared" si="5"/>
        <v>344</v>
      </c>
      <c r="B345" s="4" t="s">
        <v>12</v>
      </c>
      <c r="C345" t="str">
        <f>'[2]LAB CIVIL'!$C$4</f>
        <v>DIEGO LEONARDO SIMONS LINARES</v>
      </c>
      <c r="E345" t="s">
        <v>13</v>
      </c>
      <c r="F345" t="s">
        <v>123</v>
      </c>
      <c r="G345" s="4" t="str">
        <f>'[2]LAB CIVIL'!B255</f>
        <v>4-05600</v>
      </c>
      <c r="H345" t="str">
        <f>'[2]LAB CIVIL'!C255</f>
        <v>JUEGO DWE MOLDE PARA PRUEBA DE COMPACTACION CBR (H4151)</v>
      </c>
      <c r="I345" s="5" t="str">
        <f>'[2]LAB CIVIL'!D255</f>
        <v>Regular</v>
      </c>
    </row>
    <row r="346" spans="1:9" x14ac:dyDescent="0.25">
      <c r="A346" s="4">
        <f t="shared" si="5"/>
        <v>345</v>
      </c>
      <c r="B346" s="4" t="s">
        <v>12</v>
      </c>
      <c r="C346" t="str">
        <f>'[2]LAB CIVIL'!$C$4</f>
        <v>DIEGO LEONARDO SIMONS LINARES</v>
      </c>
      <c r="E346" t="s">
        <v>13</v>
      </c>
      <c r="F346" t="s">
        <v>123</v>
      </c>
      <c r="G346" s="4" t="str">
        <f>'[2]LAB CIVIL'!B256</f>
        <v>4-05599</v>
      </c>
      <c r="H346" t="str">
        <f>'[2]LAB CIVIL'!C256</f>
        <v>JUEGO DWE MOLDE PARA PRUEBA DE COMPACTACION CBR (H4151)</v>
      </c>
      <c r="I346" s="5" t="str">
        <f>'[2]LAB CIVIL'!D256</f>
        <v>Regular</v>
      </c>
    </row>
    <row r="347" spans="1:9" x14ac:dyDescent="0.25">
      <c r="A347" s="4">
        <f t="shared" si="5"/>
        <v>346</v>
      </c>
      <c r="B347" s="4" t="s">
        <v>12</v>
      </c>
      <c r="C347" t="str">
        <f>'[2]LAB CIVIL'!$C$4</f>
        <v>DIEGO LEONARDO SIMONS LINARES</v>
      </c>
      <c r="E347" t="s">
        <v>13</v>
      </c>
      <c r="F347" t="s">
        <v>123</v>
      </c>
      <c r="G347" s="4" t="str">
        <f>'[2]LAB CIVIL'!B257</f>
        <v>4-05596</v>
      </c>
      <c r="H347" t="str">
        <f>'[2]LAB CIVIL'!C257</f>
        <v>JUEGO DWE MOLDE PARA PRUEBA DE COMPACTACION CBR (H4151)</v>
      </c>
      <c r="I347" s="5" t="str">
        <f>'[2]LAB CIVIL'!D257</f>
        <v>Regular</v>
      </c>
    </row>
    <row r="348" spans="1:9" x14ac:dyDescent="0.25">
      <c r="A348" s="4">
        <f t="shared" si="5"/>
        <v>347</v>
      </c>
      <c r="B348" s="4" t="s">
        <v>12</v>
      </c>
      <c r="C348" t="str">
        <f>'[2]LAB CIVIL'!$C$4</f>
        <v>DIEGO LEONARDO SIMONS LINARES</v>
      </c>
      <c r="E348" t="s">
        <v>13</v>
      </c>
      <c r="F348" t="s">
        <v>123</v>
      </c>
      <c r="G348" s="4" t="str">
        <f>'[2]LAB CIVIL'!B258</f>
        <v>4-05595</v>
      </c>
      <c r="H348" t="str">
        <f>'[2]LAB CIVIL'!C258</f>
        <v>JUEGO DWE MOLDE PARA PRUEBA DE COMPACTACION CBR (H4151)</v>
      </c>
      <c r="I348" s="5" t="str">
        <f>'[2]LAB CIVIL'!D258</f>
        <v>Regular</v>
      </c>
    </row>
    <row r="349" spans="1:9" x14ac:dyDescent="0.25">
      <c r="A349" s="4">
        <f t="shared" si="5"/>
        <v>348</v>
      </c>
      <c r="B349" s="4" t="s">
        <v>12</v>
      </c>
      <c r="C349" t="str">
        <f>'[2]LAB CIVIL'!$C$4</f>
        <v>DIEGO LEONARDO SIMONS LINARES</v>
      </c>
      <c r="E349" t="s">
        <v>13</v>
      </c>
      <c r="F349" t="s">
        <v>123</v>
      </c>
      <c r="G349" s="4" t="str">
        <f>'[2]LAB CIVIL'!B259</f>
        <v>4-05594</v>
      </c>
      <c r="H349" t="str">
        <f>'[2]LAB CIVIL'!C259</f>
        <v>JUEGO DWE MOLDE PARA PRUEBA DE COMPACTACION CBR (H4151)</v>
      </c>
      <c r="I349" s="5" t="str">
        <f>'[2]LAB CIVIL'!D259</f>
        <v>Regular</v>
      </c>
    </row>
    <row r="350" spans="1:9" x14ac:dyDescent="0.25">
      <c r="A350" s="4">
        <f t="shared" si="5"/>
        <v>349</v>
      </c>
      <c r="B350" s="4" t="s">
        <v>12</v>
      </c>
      <c r="C350" t="str">
        <f>'[2]LAB CIVIL'!$C$4</f>
        <v>DIEGO LEONARDO SIMONS LINARES</v>
      </c>
      <c r="E350" t="s">
        <v>13</v>
      </c>
      <c r="F350" t="s">
        <v>123</v>
      </c>
      <c r="G350" s="4" t="str">
        <f>'[2]LAB CIVIL'!B260</f>
        <v>4-05593</v>
      </c>
      <c r="H350" t="str">
        <f>'[2]LAB CIVIL'!C260</f>
        <v>JUEGO DWE MOLDE PARA PRUEBA DE COMPACTACION CBR (H4151)</v>
      </c>
      <c r="I350" s="5" t="str">
        <f>'[2]LAB CIVIL'!D260</f>
        <v>Regular</v>
      </c>
    </row>
    <row r="351" spans="1:9" x14ac:dyDescent="0.25">
      <c r="A351" s="4">
        <f t="shared" si="5"/>
        <v>350</v>
      </c>
      <c r="B351" s="4" t="s">
        <v>12</v>
      </c>
      <c r="C351" t="str">
        <f>'[2]LAB CIVIL'!$C$4</f>
        <v>DIEGO LEONARDO SIMONS LINARES</v>
      </c>
      <c r="E351" t="s">
        <v>13</v>
      </c>
      <c r="F351" t="s">
        <v>123</v>
      </c>
      <c r="G351" s="4" t="str">
        <f>'[2]LAB CIVIL'!B261</f>
        <v>4-09804</v>
      </c>
      <c r="H351" t="str">
        <f>'[2]LAB CIVIL'!C261</f>
        <v>MOLDES PARA PRUEBAS DE COMPACTACION (JUEGO DE 3 MOLDES) MARCA TECNICAS CP-NACIONAL SERIE N¬MCBRT220208-MCBRT220221-MCBRT220211</v>
      </c>
      <c r="I351" s="5" t="str">
        <f>'[2]LAB CIVIL'!D261</f>
        <v>Regular</v>
      </c>
    </row>
    <row r="352" spans="1:9" x14ac:dyDescent="0.25">
      <c r="A352" s="4">
        <f t="shared" si="5"/>
        <v>351</v>
      </c>
      <c r="B352" s="4" t="s">
        <v>12</v>
      </c>
      <c r="C352" t="str">
        <f>'[2]LAB CIVIL'!$C$4</f>
        <v>DIEGO LEONARDO SIMONS LINARES</v>
      </c>
      <c r="E352" t="s">
        <v>13</v>
      </c>
      <c r="F352" t="s">
        <v>123</v>
      </c>
      <c r="G352" s="4" t="str">
        <f>'[2]LAB CIVIL'!B262</f>
        <v>4-011292</v>
      </c>
      <c r="H352" t="str">
        <f>'[2]LAB CIVIL'!C262</f>
        <v>APARATO DE CONSOLIDACION BANCADA DE TRES EDOMETRO MARCA MATEST MODELO S260 PROCEDENCIA ITALIA SERIE S260/BB/0099</v>
      </c>
      <c r="I352" s="5" t="str">
        <f>'[2]LAB CIVIL'!D262</f>
        <v>Regular</v>
      </c>
    </row>
    <row r="353" spans="1:9" x14ac:dyDescent="0.25">
      <c r="A353" s="4">
        <f t="shared" si="5"/>
        <v>352</v>
      </c>
      <c r="B353" s="4" t="s">
        <v>12</v>
      </c>
      <c r="C353" t="str">
        <f>'[2]LAB CIVIL'!$C$4</f>
        <v>DIEGO LEONARDO SIMONS LINARES</v>
      </c>
      <c r="E353" t="s">
        <v>13</v>
      </c>
      <c r="F353" t="s">
        <v>123</v>
      </c>
      <c r="G353" s="4" t="str">
        <f>'[2]LAB CIVIL'!B263</f>
        <v>4-011356</v>
      </c>
      <c r="H353" t="str">
        <f>'[2]LAB CIVIL'!C263</f>
        <v>VISCOSIMETRO SAYBOLT DE DOS TUBOS MARCA MATEST MODELO B087-01 PROCEDENCIA DE ITALIA SERIE B087-01/BC/0002</v>
      </c>
      <c r="I353" s="5" t="str">
        <f>'[2]LAB CIVIL'!D263</f>
        <v>Regular</v>
      </c>
    </row>
    <row r="354" spans="1:9" x14ac:dyDescent="0.25">
      <c r="A354" s="4">
        <f t="shared" si="5"/>
        <v>353</v>
      </c>
      <c r="B354" s="4" t="s">
        <v>12</v>
      </c>
      <c r="C354" t="str">
        <f>'[2]LAB CIVIL'!$C$4</f>
        <v>DIEGO LEONARDO SIMONS LINARES</v>
      </c>
      <c r="E354" t="s">
        <v>13</v>
      </c>
      <c r="F354" t="s">
        <v>123</v>
      </c>
      <c r="G354" s="4" t="str">
        <f>'[2]LAB CIVIL'!B264</f>
        <v>4-05629</v>
      </c>
      <c r="H354" t="str">
        <f>'[2]LAB CIVIL'!C264</f>
        <v>CASA GRANDE CON CONTADOR</v>
      </c>
      <c r="I354" s="5" t="str">
        <f>'[2]LAB CIVIL'!D264</f>
        <v>Regular</v>
      </c>
    </row>
    <row r="355" spans="1:9" x14ac:dyDescent="0.25">
      <c r="A355" s="4">
        <f t="shared" si="5"/>
        <v>354</v>
      </c>
      <c r="B355" s="4" t="s">
        <v>12</v>
      </c>
      <c r="C355" t="str">
        <f>'[2]LAB CIVIL'!$C$4</f>
        <v>DIEGO LEONARDO SIMONS LINARES</v>
      </c>
      <c r="E355" t="s">
        <v>13</v>
      </c>
      <c r="F355" t="s">
        <v>123</v>
      </c>
      <c r="G355" s="4" t="str">
        <f>'[2]LAB CIVIL'!B265</f>
        <v>4-05628</v>
      </c>
      <c r="H355" t="str">
        <f>'[2]LAB CIVIL'!C265</f>
        <v>CASA GRANDE CON CONTADOR</v>
      </c>
      <c r="I355" s="5" t="str">
        <f>'[2]LAB CIVIL'!D265</f>
        <v>Regular</v>
      </c>
    </row>
    <row r="356" spans="1:9" x14ac:dyDescent="0.25">
      <c r="A356" s="4">
        <f t="shared" si="5"/>
        <v>355</v>
      </c>
      <c r="B356" s="4" t="s">
        <v>12</v>
      </c>
      <c r="C356" t="str">
        <f>'[2]LAB CIVIL'!$C$4</f>
        <v>DIEGO LEONARDO SIMONS LINARES</v>
      </c>
      <c r="E356" t="s">
        <v>13</v>
      </c>
      <c r="F356" t="s">
        <v>123</v>
      </c>
      <c r="G356" s="4" t="str">
        <f>'[2]LAB CIVIL'!B266</f>
        <v>4-05578</v>
      </c>
      <c r="H356" t="str">
        <f>'[2]LAB CIVIL'!C266</f>
        <v>APARATO VICAT MANUAL; MARCA MATEST, PROCEDENCIA ITALIA, MODELO E055N COLOR NEGRO</v>
      </c>
      <c r="I356" s="5" t="str">
        <f>'[2]LAB CIVIL'!D266</f>
        <v>Regular</v>
      </c>
    </row>
    <row r="357" spans="1:9" x14ac:dyDescent="0.25">
      <c r="A357" s="4">
        <f t="shared" si="5"/>
        <v>356</v>
      </c>
      <c r="B357" s="4" t="s">
        <v>12</v>
      </c>
      <c r="C357" t="str">
        <f>'[2]LAB CIVIL'!$C$4</f>
        <v>DIEGO LEONARDO SIMONS LINARES</v>
      </c>
      <c r="E357" t="s">
        <v>13</v>
      </c>
      <c r="F357" t="s">
        <v>123</v>
      </c>
      <c r="G357" s="4" t="str">
        <f>'[2]LAB CIVIL'!B267</f>
        <v>4-05577</v>
      </c>
      <c r="H357" t="str">
        <f>'[2]LAB CIVIL'!C267</f>
        <v>APARATO VICAT MANUAL; MARCA MATEST, PROCEDENCIA ITALIA, MODELO E055N COLOR NEGRO</v>
      </c>
      <c r="I357" s="5" t="str">
        <f>'[2]LAB CIVIL'!D267</f>
        <v>Regular</v>
      </c>
    </row>
    <row r="358" spans="1:9" x14ac:dyDescent="0.25">
      <c r="A358" s="4">
        <f t="shared" si="5"/>
        <v>357</v>
      </c>
      <c r="B358" s="4" t="s">
        <v>12</v>
      </c>
      <c r="C358" t="str">
        <f>'[2]LAB CIVIL'!$C$4</f>
        <v>DIEGO LEONARDO SIMONS LINARES</v>
      </c>
      <c r="E358" t="s">
        <v>13</v>
      </c>
      <c r="F358" t="s">
        <v>123</v>
      </c>
      <c r="G358" s="4" t="str">
        <f>'[2]LAB CIVIL'!B268</f>
        <v>4-11509</v>
      </c>
      <c r="H358" t="str">
        <f>'[2]LAB CIVIL'!C268</f>
        <v>TRITURADORA DE MANDIBULAS PARA LABORATORIO MARCA MATEST MODELO A092 NUMERO DE SERIE A092/BC/0020 PROCEDENCIA ITALIA</v>
      </c>
      <c r="I358" s="5" t="str">
        <f>'[2]LAB CIVIL'!D268</f>
        <v>Regular</v>
      </c>
    </row>
    <row r="359" spans="1:9" x14ac:dyDescent="0.25">
      <c r="A359" s="4">
        <f t="shared" si="5"/>
        <v>358</v>
      </c>
      <c r="B359" s="4" t="s">
        <v>12</v>
      </c>
      <c r="C359" t="str">
        <f>'[2]LAB CIVIL'!$C$4</f>
        <v>DIEGO LEONARDO SIMONS LINARES</v>
      </c>
      <c r="E359" t="s">
        <v>13</v>
      </c>
      <c r="F359" t="s">
        <v>123</v>
      </c>
      <c r="G359" s="4" t="str">
        <f>'[2]LAB CIVIL'!B269</f>
        <v>4-09803</v>
      </c>
      <c r="H359" t="str">
        <f>'[2]LAB CIVIL'!C269</f>
        <v>ESCLEROMETRO-MARTILLO DE PRUEBA DE HORMIGON TIPO N MARCA ZHEJIANG MODELO ZC3-A SERIE N¬E22106</v>
      </c>
      <c r="I359" s="5" t="str">
        <f>'[2]LAB CIVIL'!D269</f>
        <v>Regular</v>
      </c>
    </row>
    <row r="360" spans="1:9" x14ac:dyDescent="0.25">
      <c r="A360" s="4">
        <f t="shared" si="5"/>
        <v>359</v>
      </c>
      <c r="B360" s="4" t="s">
        <v>12</v>
      </c>
      <c r="C360" t="str">
        <f>'[2]LAB CIVIL'!$C$4</f>
        <v>DIEGO LEONARDO SIMONS LINARES</v>
      </c>
      <c r="E360" t="s">
        <v>13</v>
      </c>
      <c r="F360" t="s">
        <v>123</v>
      </c>
      <c r="G360" s="4" t="str">
        <f>'[2]LAB CIVIL'!B270</f>
        <v>4-11506</v>
      </c>
      <c r="H360" t="str">
        <f>'[2]LAB CIVIL'!C270</f>
        <v>APARATO DE BLAINE DE PERMEABILIDAD DE AIRE MARCA MATEST MODELO E009 KIT NUMERO DE SERIE E009-KIT/BB/0052 PROCEDENCIA ITALIA</v>
      </c>
      <c r="I360" s="5" t="str">
        <f>'[2]LAB CIVIL'!D270</f>
        <v>Regular</v>
      </c>
    </row>
    <row r="361" spans="1:9" x14ac:dyDescent="0.25">
      <c r="A361" s="4">
        <f t="shared" si="5"/>
        <v>360</v>
      </c>
      <c r="B361" s="4" t="s">
        <v>12</v>
      </c>
      <c r="C361" t="str">
        <f>'[2]LAB CIVIL'!$C$4</f>
        <v>DIEGO LEONARDO SIMONS LINARES</v>
      </c>
      <c r="E361" t="s">
        <v>13</v>
      </c>
      <c r="F361" t="s">
        <v>123</v>
      </c>
      <c r="G361" s="4" t="str">
        <f>'[2]LAB CIVIL'!B271</f>
        <v>4-11507</v>
      </c>
      <c r="H361" t="str">
        <f>'[2]LAB CIVIL'!C271</f>
        <v>APARATO DE BLAINE DE PERMEABILIDAD DE AIRE MARCA MATEST MODELO E009 KIT NUMERO DE SERIE E009-KIT/BB/0051 PROCEDENCIA ITALIA</v>
      </c>
      <c r="I361" s="5" t="str">
        <f>'[2]LAB CIVIL'!D271</f>
        <v>Regular</v>
      </c>
    </row>
    <row r="362" spans="1:9" x14ac:dyDescent="0.25">
      <c r="A362" s="4">
        <f t="shared" si="5"/>
        <v>361</v>
      </c>
      <c r="B362" s="4" t="s">
        <v>12</v>
      </c>
      <c r="C362" t="str">
        <f>'[2]LAB CIVIL'!$C$4</f>
        <v>DIEGO LEONARDO SIMONS LINARES</v>
      </c>
      <c r="E362" t="s">
        <v>13</v>
      </c>
      <c r="F362" t="s">
        <v>123</v>
      </c>
      <c r="G362" s="4" t="str">
        <f>'[2]LAB CIVIL'!B272</f>
        <v>4-08785</v>
      </c>
      <c r="H362" t="str">
        <f>'[2]LAB CIVIL'!C272</f>
        <v>EQUIPO DE ENSAYO PERMEABILIDAD MATEST MOD. S245-01 CELDA DE PERMEABILIDAD 1 SOPORTE MANOMETRO 3 TUBOS DE DIAMETRO INTERNO 1 TANQUE NIVEL CONSTANTE.</v>
      </c>
      <c r="I362" s="5" t="str">
        <f>'[2]LAB CIVIL'!D272</f>
        <v>Regular</v>
      </c>
    </row>
    <row r="363" spans="1:9" x14ac:dyDescent="0.25">
      <c r="A363" s="4">
        <f t="shared" si="5"/>
        <v>362</v>
      </c>
      <c r="B363" s="4" t="s">
        <v>12</v>
      </c>
      <c r="C363" t="str">
        <f>'[2]LAB CIVIL'!$C$4</f>
        <v>DIEGO LEONARDO SIMONS LINARES</v>
      </c>
      <c r="E363" t="s">
        <v>13</v>
      </c>
      <c r="F363" t="s">
        <v>123</v>
      </c>
      <c r="G363" s="4" t="str">
        <f>'[2]LAB CIVIL'!B273</f>
        <v>4-11633</v>
      </c>
      <c r="H363" t="str">
        <f>'[2]LAB CIVIL'!C273</f>
        <v>MOLINO TIPO MARTILLO PARA SUELOS MARCA GILSON MODELO SA-45F S/N 6K490BF PROCEDENCIA EEUU</v>
      </c>
      <c r="I363" s="5" t="str">
        <f>'[2]LAB CIVIL'!D273</f>
        <v>Regular</v>
      </c>
    </row>
    <row r="364" spans="1:9" x14ac:dyDescent="0.25">
      <c r="A364" s="4">
        <f t="shared" si="5"/>
        <v>363</v>
      </c>
      <c r="B364" s="4" t="s">
        <v>12</v>
      </c>
      <c r="C364" t="str">
        <f>'[2]LAB CIVIL'!$C$4</f>
        <v>DIEGO LEONARDO SIMONS LINARES</v>
      </c>
      <c r="E364" t="s">
        <v>13</v>
      </c>
      <c r="F364" t="s">
        <v>123</v>
      </c>
      <c r="G364" s="4" t="str">
        <f>'[2]LAB CIVIL'!B274</f>
        <v>4-011354</v>
      </c>
      <c r="H364" t="str">
        <f>'[2]LAB CIVIL'!C274</f>
        <v>EQUIPO DE ANILLO Y BOLA MARCA MATEST MODELO B072 PROCEDENCIA DE ITALIA SERIE B072/AB/0004</v>
      </c>
      <c r="I364" s="5" t="str">
        <f>'[2]LAB CIVIL'!D274</f>
        <v>Regular</v>
      </c>
    </row>
    <row r="365" spans="1:9" x14ac:dyDescent="0.25">
      <c r="A365" s="4">
        <f t="shared" si="5"/>
        <v>364</v>
      </c>
      <c r="B365" s="4" t="s">
        <v>12</v>
      </c>
      <c r="C365" t="str">
        <f>'[2]LAB CIVIL'!$C$4</f>
        <v>DIEGO LEONARDO SIMONS LINARES</v>
      </c>
      <c r="E365" t="s">
        <v>13</v>
      </c>
      <c r="F365" t="s">
        <v>123</v>
      </c>
      <c r="G365" s="4" t="str">
        <f>'[2]LAB CIVIL'!B275</f>
        <v>4-011353</v>
      </c>
      <c r="H365" t="str">
        <f>'[2]LAB CIVIL'!C275</f>
        <v>EQUIPO DE ANILLO Y BOLA MARCA MATEST MODELO B072 PROCEDENCIA DE ITALIA SERIE B072/AB/0003</v>
      </c>
      <c r="I365" s="5" t="str">
        <f>'[2]LAB CIVIL'!D275</f>
        <v>Regular</v>
      </c>
    </row>
    <row r="366" spans="1:9" x14ac:dyDescent="0.25">
      <c r="A366" s="4">
        <f t="shared" si="5"/>
        <v>365</v>
      </c>
      <c r="B366" s="4" t="s">
        <v>12</v>
      </c>
      <c r="C366" t="str">
        <f>'[2]LAB CIVIL'!$C$4</f>
        <v>DIEGO LEONARDO SIMONS LINARES</v>
      </c>
      <c r="E366" t="s">
        <v>13</v>
      </c>
      <c r="F366" t="s">
        <v>123</v>
      </c>
      <c r="G366" s="4" t="str">
        <f>'[2]LAB CIVIL'!B276</f>
        <v>4-08596</v>
      </c>
      <c r="H366" t="str">
        <f>'[2]LAB CIVIL'!C276</f>
        <v>PIZARRA ACRILICA DIVIDIDA EN DOS MODULOS CON MARCO DE ALUMINIO CON BRILLO LAVABLE DE 6 X 1.30 METROS</v>
      </c>
      <c r="I366" s="5" t="str">
        <f>'[2]LAB CIVIL'!D276</f>
        <v>Regular</v>
      </c>
    </row>
    <row r="367" spans="1:9" x14ac:dyDescent="0.25">
      <c r="A367" s="4">
        <f t="shared" si="5"/>
        <v>366</v>
      </c>
      <c r="B367" s="4" t="s">
        <v>12</v>
      </c>
      <c r="C367" t="str">
        <f>'[2]LAB CIVIL'!$C$4</f>
        <v>DIEGO LEONARDO SIMONS LINARES</v>
      </c>
      <c r="E367" t="s">
        <v>13</v>
      </c>
      <c r="F367" t="s">
        <v>123</v>
      </c>
      <c r="G367" s="4" t="str">
        <f>'[2]LAB CIVIL'!B277</f>
        <v>4-011291</v>
      </c>
      <c r="H367" t="str">
        <f>'[2]LAB CIVIL'!C277</f>
        <v>EQUIPO CORTE DIRECTO RESIDUAL AUTOMATICO, MARCA MATEST MODELO S276-10M PROCEDENCIA ITALIA SERIE - S276-10N/BC/0010</v>
      </c>
      <c r="I367" s="5" t="str">
        <f>'[2]LAB CIVIL'!D277</f>
        <v>Regular</v>
      </c>
    </row>
    <row r="368" spans="1:9" x14ac:dyDescent="0.25">
      <c r="A368" s="4">
        <f t="shared" si="5"/>
        <v>367</v>
      </c>
      <c r="B368" s="4" t="s">
        <v>12</v>
      </c>
      <c r="C368" t="str">
        <f>'[2]LAB CIVIL'!$C$4</f>
        <v>DIEGO LEONARDO SIMONS LINARES</v>
      </c>
      <c r="E368" t="s">
        <v>13</v>
      </c>
      <c r="F368" t="s">
        <v>123</v>
      </c>
      <c r="G368" s="4" t="str">
        <f>'[2]LAB CIVIL'!B278</f>
        <v>4-011337</v>
      </c>
      <c r="H368" t="str">
        <f>'[2]LAB CIVIL'!C278</f>
        <v>MOLDES CBR MARCA MATEST MODELO S200-01N PROCEDENCIA DE ITALIA SERIE S200-01N/BC/0008</v>
      </c>
      <c r="I368" s="5" t="str">
        <f>'[2]LAB CIVIL'!D278</f>
        <v>Regular</v>
      </c>
    </row>
    <row r="369" spans="1:9" x14ac:dyDescent="0.25">
      <c r="A369" s="4">
        <f t="shared" si="5"/>
        <v>368</v>
      </c>
      <c r="B369" s="4" t="s">
        <v>12</v>
      </c>
      <c r="C369" t="str">
        <f>'[2]LAB CIVIL'!$C$4</f>
        <v>DIEGO LEONARDO SIMONS LINARES</v>
      </c>
      <c r="E369" t="s">
        <v>13</v>
      </c>
      <c r="F369" t="s">
        <v>123</v>
      </c>
      <c r="G369" s="4" t="str">
        <f>'[2]LAB CIVIL'!B279</f>
        <v>4-011336</v>
      </c>
      <c r="H369" t="str">
        <f>'[2]LAB CIVIL'!C279</f>
        <v>MOLDES CBR MARCA MATEST MODELO S200-01N PROCEDENCIA DE ITALIA SERIE S200-01N/BC/0007</v>
      </c>
      <c r="I369" s="5" t="str">
        <f>'[2]LAB CIVIL'!D279</f>
        <v>Regular</v>
      </c>
    </row>
    <row r="370" spans="1:9" x14ac:dyDescent="0.25">
      <c r="A370" s="4">
        <f t="shared" si="5"/>
        <v>369</v>
      </c>
      <c r="B370" s="4" t="s">
        <v>12</v>
      </c>
      <c r="C370" t="str">
        <f>'[2]LAB CIVIL'!$C$4</f>
        <v>DIEGO LEONARDO SIMONS LINARES</v>
      </c>
      <c r="E370" t="s">
        <v>13</v>
      </c>
      <c r="F370" t="s">
        <v>123</v>
      </c>
      <c r="G370" s="4" t="str">
        <f>'[2]LAB CIVIL'!B280</f>
        <v>4-011335</v>
      </c>
      <c r="H370" t="str">
        <f>'[2]LAB CIVIL'!C280</f>
        <v>MOLDES CBR MARCA MATEST MODELO S200-01N PROCEDENCIA DE ITALIA SERIE S200-01N/BC/0006</v>
      </c>
      <c r="I370" s="5" t="str">
        <f>'[2]LAB CIVIL'!D280</f>
        <v>Regular</v>
      </c>
    </row>
    <row r="371" spans="1:9" x14ac:dyDescent="0.25">
      <c r="A371" s="4">
        <f t="shared" si="5"/>
        <v>370</v>
      </c>
      <c r="B371" s="4" t="s">
        <v>12</v>
      </c>
      <c r="C371" t="str">
        <f>'[2]LAB CIVIL'!$C$4</f>
        <v>DIEGO LEONARDO SIMONS LINARES</v>
      </c>
      <c r="E371" t="s">
        <v>13</v>
      </c>
      <c r="F371" t="s">
        <v>123</v>
      </c>
      <c r="G371" s="4" t="str">
        <f>'[2]LAB CIVIL'!B281</f>
        <v>4-011334</v>
      </c>
      <c r="H371" t="str">
        <f>'[2]LAB CIVIL'!C281</f>
        <v>MOLDES CBR MARCA MATEST MODELO S200-01N PROCEDENCIA DE ITALIA SERIE S200-01N/BC/0005</v>
      </c>
      <c r="I371" s="5" t="str">
        <f>'[2]LAB CIVIL'!D281</f>
        <v>Regular</v>
      </c>
    </row>
    <row r="372" spans="1:9" x14ac:dyDescent="0.25">
      <c r="A372" s="4">
        <f t="shared" si="5"/>
        <v>371</v>
      </c>
      <c r="B372" s="4" t="s">
        <v>12</v>
      </c>
      <c r="C372" t="str">
        <f>'[2]LAB CIVIL'!$C$4</f>
        <v>DIEGO LEONARDO SIMONS LINARES</v>
      </c>
      <c r="E372" t="s">
        <v>13</v>
      </c>
      <c r="F372" t="s">
        <v>123</v>
      </c>
      <c r="G372" s="4" t="str">
        <f>'[2]LAB CIVIL'!B282</f>
        <v>4-011333</v>
      </c>
      <c r="H372" t="str">
        <f>'[2]LAB CIVIL'!C282</f>
        <v>MOLDES CBR MARCA MATEST MODELO S200-01N PROCEDENCIA DE ITALIA SERIE S200-01N/BC/0004</v>
      </c>
      <c r="I372" s="5" t="str">
        <f>'[2]LAB CIVIL'!D282</f>
        <v>Regular</v>
      </c>
    </row>
    <row r="373" spans="1:9" x14ac:dyDescent="0.25">
      <c r="A373" s="4">
        <f t="shared" si="5"/>
        <v>372</v>
      </c>
      <c r="B373" s="4" t="s">
        <v>12</v>
      </c>
      <c r="C373" t="str">
        <f>'[2]LAB CIVIL'!$C$4</f>
        <v>DIEGO LEONARDO SIMONS LINARES</v>
      </c>
      <c r="E373" t="s">
        <v>13</v>
      </c>
      <c r="F373" t="s">
        <v>123</v>
      </c>
      <c r="G373" s="4" t="str">
        <f>'[2]LAB CIVIL'!B283</f>
        <v>4-011332</v>
      </c>
      <c r="H373" t="str">
        <f>'[2]LAB CIVIL'!C283</f>
        <v>MOLDES CBR MARCA MATEST MODELO S200-01N PROCEDENCIA DE ITALIA SERIE S200-01N/BC/0003</v>
      </c>
      <c r="I373" s="5" t="str">
        <f>'[2]LAB CIVIL'!D283</f>
        <v>Regular</v>
      </c>
    </row>
    <row r="374" spans="1:9" x14ac:dyDescent="0.25">
      <c r="A374" s="4">
        <f t="shared" si="5"/>
        <v>373</v>
      </c>
      <c r="B374" s="4" t="s">
        <v>12</v>
      </c>
      <c r="C374" t="str">
        <f>'[2]LAB CIVIL'!$C$4</f>
        <v>DIEGO LEONARDO SIMONS LINARES</v>
      </c>
      <c r="E374" t="s">
        <v>13</v>
      </c>
      <c r="F374" t="s">
        <v>123</v>
      </c>
      <c r="G374" s="4" t="str">
        <f>'[2]LAB CIVIL'!B284</f>
        <v>4-09805</v>
      </c>
      <c r="H374" t="str">
        <f>'[2]LAB CIVIL'!C284</f>
        <v>INDICADOR DIAL DE PENETRACION -RECORRIDO DE 1X0.001 MARCA:BAKER MODELO: J50A SERIEN¬R2544MATERIAL METAL COLOR NEGRO CON AMARILLO</v>
      </c>
      <c r="I374" s="5" t="str">
        <f>'[2]LAB CIVIL'!D284</f>
        <v>Regular</v>
      </c>
    </row>
    <row r="375" spans="1:9" x14ac:dyDescent="0.25">
      <c r="A375" s="4">
        <f t="shared" si="5"/>
        <v>374</v>
      </c>
      <c r="B375" s="4" t="s">
        <v>12</v>
      </c>
      <c r="C375" t="str">
        <f>'[2]LAB CIVIL'!$C$4</f>
        <v>DIEGO LEONARDO SIMONS LINARES</v>
      </c>
      <c r="E375" t="s">
        <v>13</v>
      </c>
      <c r="F375" t="s">
        <v>123</v>
      </c>
      <c r="G375" s="4" t="str">
        <f>'[2]LAB CIVIL'!B285</f>
        <v>4-09806</v>
      </c>
      <c r="H375" t="str">
        <f>'[2]LAB CIVIL'!C285</f>
        <v>INDICADOR DIAL DE PENETRACION -RECORRIDO DE 1X0.001 MARCA:BAKER MODELO: J50A SERIEN¬R2540 MATERIAL METAL COLOR NEGRO CON AMARILLO</v>
      </c>
      <c r="I375" s="5" t="str">
        <f>'[2]LAB CIVIL'!D285</f>
        <v>Regular</v>
      </c>
    </row>
    <row r="376" spans="1:9" x14ac:dyDescent="0.25">
      <c r="A376" s="4">
        <f t="shared" si="5"/>
        <v>375</v>
      </c>
      <c r="B376" s="4" t="s">
        <v>12</v>
      </c>
      <c r="C376" t="str">
        <f>'[2]LAB CIVIL'!$C$4</f>
        <v>DIEGO LEONARDO SIMONS LINARES</v>
      </c>
      <c r="E376" t="s">
        <v>13</v>
      </c>
      <c r="F376" t="s">
        <v>123</v>
      </c>
      <c r="G376" s="4" t="str">
        <f>'[2]LAB CIVIL'!B286</f>
        <v>4-05625</v>
      </c>
      <c r="H376" t="str">
        <f>'[2]LAB CIVIL'!C286</f>
        <v>MARTILLO PARA PRUEBA DE COMPACTACION PROCTOR STANDARD DE CONRE</v>
      </c>
      <c r="I376" s="5" t="str">
        <f>'[2]LAB CIVIL'!D286</f>
        <v>Regular</v>
      </c>
    </row>
    <row r="377" spans="1:9" x14ac:dyDescent="0.25">
      <c r="A377" s="4">
        <f t="shared" si="5"/>
        <v>376</v>
      </c>
      <c r="B377" s="4" t="s">
        <v>12</v>
      </c>
      <c r="C377" t="str">
        <f>'[2]LAB CIVIL'!$C$4</f>
        <v>DIEGO LEONARDO SIMONS LINARES</v>
      </c>
      <c r="E377" t="s">
        <v>13</v>
      </c>
      <c r="F377" t="s">
        <v>123</v>
      </c>
      <c r="G377" s="4" t="str">
        <f>'[2]LAB CIVIL'!B287</f>
        <v>4-05622</v>
      </c>
      <c r="H377" t="str">
        <f>'[2]LAB CIVIL'!C287</f>
        <v>MARTILLO PARA PRUEBA DE COMPACTACION PROCTOR MODIFICADO , PLATEADO 40 CN</v>
      </c>
      <c r="I377" s="5" t="str">
        <f>'[2]LAB CIVIL'!D287</f>
        <v>Regular</v>
      </c>
    </row>
    <row r="378" spans="1:9" x14ac:dyDescent="0.25">
      <c r="A378" s="4">
        <f t="shared" si="5"/>
        <v>377</v>
      </c>
      <c r="B378" s="4" t="s">
        <v>12</v>
      </c>
      <c r="C378" t="str">
        <f>'[2]LAB CIVIL'!$C$4</f>
        <v>DIEGO LEONARDO SIMONS LINARES</v>
      </c>
      <c r="E378" t="s">
        <v>13</v>
      </c>
      <c r="F378" t="s">
        <v>123</v>
      </c>
      <c r="G378" s="4" t="str">
        <f>'[2]LAB CIVIL'!B288</f>
        <v>4-07095</v>
      </c>
      <c r="H378" t="str">
        <f>'[2]LAB CIVIL'!C288</f>
        <v>MARTILLO PARA PRUEBAS DE COMPACTACION, MARCA MATEST, MODELO S188, PROCEDENCIA ITALIA, COLOR BRONCE, CANTIDAD DE PIEZA 1</v>
      </c>
      <c r="I378" s="5" t="str">
        <f>'[2]LAB CIVIL'!D288</f>
        <v>Regular</v>
      </c>
    </row>
    <row r="379" spans="1:9" x14ac:dyDescent="0.25">
      <c r="A379" s="4">
        <f t="shared" si="5"/>
        <v>378</v>
      </c>
      <c r="B379" s="4" t="s">
        <v>12</v>
      </c>
      <c r="C379" t="str">
        <f>'[2]LAB CIVIL'!$C$4</f>
        <v>DIEGO LEONARDO SIMONS LINARES</v>
      </c>
      <c r="E379" t="s">
        <v>13</v>
      </c>
      <c r="F379" t="s">
        <v>123</v>
      </c>
      <c r="G379" s="4" t="str">
        <f>'[2]LAB CIVIL'!B289</f>
        <v>4-05624</v>
      </c>
      <c r="H379" t="str">
        <f>'[2]LAB CIVIL'!C289</f>
        <v>MARTILLO DE PRUEBA DE COMPACTACION PROCTOR MODIFICADO PESO DE 1.5 KG CAIDA DE 457.2MM (18 DIAMETRO) PARA COMPACTAR SUELO</v>
      </c>
      <c r="I379" s="5" t="str">
        <f>'[2]LAB CIVIL'!D289</f>
        <v>Regular</v>
      </c>
    </row>
    <row r="380" spans="1:9" x14ac:dyDescent="0.25">
      <c r="A380" s="4">
        <f t="shared" si="5"/>
        <v>379</v>
      </c>
      <c r="B380" s="4" t="s">
        <v>12</v>
      </c>
      <c r="C380" t="str">
        <f>'[2]LAB CIVIL'!$C$4</f>
        <v>DIEGO LEONARDO SIMONS LINARES</v>
      </c>
      <c r="E380" t="s">
        <v>13</v>
      </c>
      <c r="F380" t="s">
        <v>123</v>
      </c>
      <c r="G380" s="4" t="str">
        <f>'[2]LAB CIVIL'!B290</f>
        <v>4-05623</v>
      </c>
      <c r="H380" t="str">
        <f>'[2]LAB CIVIL'!C290</f>
        <v>MARTILLO PARA PRUEBA D COMPACTACION, PROCTOR MODIFICADO PESO DE 4.5, CAIDA DE 457.2MM MARCA TAMIEQUIPO</v>
      </c>
      <c r="I380" s="5" t="str">
        <f>'[2]LAB CIVIL'!D290</f>
        <v>Regular</v>
      </c>
    </row>
    <row r="381" spans="1:9" x14ac:dyDescent="0.25">
      <c r="A381" s="4">
        <f t="shared" si="5"/>
        <v>380</v>
      </c>
      <c r="B381" s="4" t="s">
        <v>12</v>
      </c>
      <c r="C381" t="str">
        <f>'[2]LAB CIVIL'!$C$4</f>
        <v>DIEGO LEONARDO SIMONS LINARES</v>
      </c>
      <c r="E381" t="s">
        <v>13</v>
      </c>
      <c r="F381" t="s">
        <v>123</v>
      </c>
      <c r="G381" s="4" t="str">
        <f>'[2]LAB CIVIL'!B291</f>
        <v>4-011357</v>
      </c>
      <c r="H381" t="str">
        <f>'[2]LAB CIVIL'!C291</f>
        <v>VIGA BENKELMAN MARCA MATEST MODELO B102 PROCENDENCIA DE ITALIA SERIE 0102-05/BA/0003</v>
      </c>
      <c r="I381" s="5" t="str">
        <f>'[2]LAB CIVIL'!D291</f>
        <v>Regular</v>
      </c>
    </row>
    <row r="382" spans="1:9" x14ac:dyDescent="0.25">
      <c r="A382" s="4">
        <f t="shared" si="5"/>
        <v>381</v>
      </c>
      <c r="B382" s="4" t="s">
        <v>12</v>
      </c>
      <c r="C382" t="str">
        <f>'[2]LAB CIVIL'!$C$4</f>
        <v>DIEGO LEONARDO SIMONS LINARES</v>
      </c>
      <c r="E382" t="s">
        <v>13</v>
      </c>
      <c r="F382" t="s">
        <v>123</v>
      </c>
      <c r="G382" s="4" t="str">
        <f>'[2]LAB CIVIL'!B292</f>
        <v>4-08572</v>
      </c>
      <c r="H382" t="str">
        <f>'[2]LAB CIVIL'!C292</f>
        <v>BALANZA ELECTRONICA, MARCA OHAUS, MODELO R31P30, CAPACIDAD 30 KG X 1 KG</v>
      </c>
      <c r="I382" s="5" t="str">
        <f>'[2]LAB CIVIL'!D292</f>
        <v>Regular</v>
      </c>
    </row>
    <row r="383" spans="1:9" x14ac:dyDescent="0.25">
      <c r="A383" s="4">
        <f t="shared" si="5"/>
        <v>382</v>
      </c>
      <c r="B383" s="4" t="s">
        <v>12</v>
      </c>
      <c r="C383" t="str">
        <f>'[2]LAB CIVIL'!$C$4</f>
        <v>DIEGO LEONARDO SIMONS LINARES</v>
      </c>
      <c r="E383" t="s">
        <v>13</v>
      </c>
      <c r="F383" t="s">
        <v>123</v>
      </c>
      <c r="G383" s="4" t="str">
        <f>'[2]LAB CIVIL'!B293</f>
        <v>4-11501</v>
      </c>
      <c r="H383" t="str">
        <f>'[2]LAB CIVIL'!C293</f>
        <v>BALANZA DE 60 KG DE CAPACIDAD MARCA RADWAG MODELO WLC 60/C2/R NUMERO DE SERIE 760184 PROCEDENCIA POLONIA</v>
      </c>
      <c r="I383" s="5" t="str">
        <f>'[2]LAB CIVIL'!D293</f>
        <v>Regular</v>
      </c>
    </row>
    <row r="384" spans="1:9" x14ac:dyDescent="0.25">
      <c r="A384" s="4">
        <f t="shared" si="5"/>
        <v>383</v>
      </c>
      <c r="B384" s="4" t="s">
        <v>12</v>
      </c>
      <c r="C384" t="str">
        <f>'[2]LAB CIVIL'!$C$4</f>
        <v>DIEGO LEONARDO SIMONS LINARES</v>
      </c>
      <c r="E384" t="s">
        <v>13</v>
      </c>
      <c r="F384" t="s">
        <v>123</v>
      </c>
      <c r="G384" s="4" t="str">
        <f>'[2]LAB CIVIL'!B294</f>
        <v>4-011326</v>
      </c>
      <c r="H384" t="str">
        <f>'[2]LAB CIVIL'!C294</f>
        <v>EQUIPO DE COMPACTACION MARCA MATEST MODELO S185 PROCEDENCIA DE ITALIA SERIE S185-04/BB/0001</v>
      </c>
      <c r="I384" s="5" t="str">
        <f>'[2]LAB CIVIL'!D294</f>
        <v>Regular</v>
      </c>
    </row>
    <row r="385" spans="1:9" x14ac:dyDescent="0.25">
      <c r="A385" s="4">
        <f t="shared" si="5"/>
        <v>384</v>
      </c>
      <c r="B385" s="4" t="s">
        <v>12</v>
      </c>
      <c r="C385" t="str">
        <f>'[2]LAB CIVIL'!$C$4</f>
        <v>DIEGO LEONARDO SIMONS LINARES</v>
      </c>
      <c r="E385" t="s">
        <v>13</v>
      </c>
      <c r="F385" t="s">
        <v>123</v>
      </c>
      <c r="G385" s="4" t="str">
        <f>'[2]LAB CIVIL'!B295</f>
        <v>4-011331</v>
      </c>
      <c r="H385" t="str">
        <f>'[2]LAB CIVIL'!C295</f>
        <v>EQUIPO DE COMPACTACION MARCA MATEST MODELO S185 PROCEDENCIA DE ITALIA SERIE S185-04/BB/0006</v>
      </c>
      <c r="I385" s="5" t="str">
        <f>'[2]LAB CIVIL'!D295</f>
        <v>Regular</v>
      </c>
    </row>
    <row r="386" spans="1:9" x14ac:dyDescent="0.25">
      <c r="A386" s="4">
        <f t="shared" si="5"/>
        <v>385</v>
      </c>
      <c r="B386" s="4" t="s">
        <v>12</v>
      </c>
      <c r="C386" t="str">
        <f>'[2]LAB CIVIL'!$C$4</f>
        <v>DIEGO LEONARDO SIMONS LINARES</v>
      </c>
      <c r="E386" t="s">
        <v>13</v>
      </c>
      <c r="F386" t="s">
        <v>123</v>
      </c>
      <c r="G386" s="4" t="str">
        <f>'[2]LAB CIVIL'!B296</f>
        <v>4-011330</v>
      </c>
      <c r="H386" t="str">
        <f>'[2]LAB CIVIL'!C296</f>
        <v>EQUIPO DE COMPACTACION MARCA MATEST MODELO S185 PROCEDENCIA DE ITALIA SERIE S185-04/BB/0005</v>
      </c>
      <c r="I386" s="5" t="str">
        <f>'[2]LAB CIVIL'!D296</f>
        <v>Regular</v>
      </c>
    </row>
    <row r="387" spans="1:9" x14ac:dyDescent="0.25">
      <c r="A387" s="4">
        <f t="shared" si="5"/>
        <v>386</v>
      </c>
      <c r="B387" s="4" t="s">
        <v>12</v>
      </c>
      <c r="C387" t="str">
        <f>'[2]LAB CIVIL'!$C$4</f>
        <v>DIEGO LEONARDO SIMONS LINARES</v>
      </c>
      <c r="E387" t="s">
        <v>13</v>
      </c>
      <c r="F387" t="s">
        <v>123</v>
      </c>
      <c r="G387" s="4" t="str">
        <f>'[2]LAB CIVIL'!B297</f>
        <v>4-011329</v>
      </c>
      <c r="H387" t="str">
        <f>'[2]LAB CIVIL'!C297</f>
        <v>EQUIPO DE COMPACTACION MARCA MATEST MODELO S185 PROCEDENCIA DE ITALIA SERIE S185-04/BB/0004</v>
      </c>
      <c r="I387" s="5" t="str">
        <f>'[2]LAB CIVIL'!D297</f>
        <v>Regular</v>
      </c>
    </row>
    <row r="388" spans="1:9" x14ac:dyDescent="0.25">
      <c r="A388" s="4">
        <f t="shared" ref="A388:A451" si="6">A387+1</f>
        <v>387</v>
      </c>
      <c r="B388" s="4" t="s">
        <v>12</v>
      </c>
      <c r="C388" t="str">
        <f>'[2]LAB CIVIL'!$C$4</f>
        <v>DIEGO LEONARDO SIMONS LINARES</v>
      </c>
      <c r="E388" t="s">
        <v>13</v>
      </c>
      <c r="F388" t="s">
        <v>123</v>
      </c>
      <c r="G388" s="4" t="str">
        <f>'[2]LAB CIVIL'!B298</f>
        <v>4-011328</v>
      </c>
      <c r="H388" t="str">
        <f>'[2]LAB CIVIL'!C298</f>
        <v>EQUIPO DE COMPACTACION MARCA MATEST MODELO S185 PROCEDENCIA DE ITALIA SERIE S185-04/BB/0003</v>
      </c>
      <c r="I388" s="5" t="str">
        <f>'[2]LAB CIVIL'!D298</f>
        <v>Regular</v>
      </c>
    </row>
    <row r="389" spans="1:9" x14ac:dyDescent="0.25">
      <c r="A389" s="4">
        <f t="shared" si="6"/>
        <v>388</v>
      </c>
      <c r="B389" s="4" t="s">
        <v>12</v>
      </c>
      <c r="C389" t="str">
        <f>'[2]LAB CIVIL'!$C$4</f>
        <v>DIEGO LEONARDO SIMONS LINARES</v>
      </c>
      <c r="E389" t="s">
        <v>13</v>
      </c>
      <c r="F389" t="s">
        <v>123</v>
      </c>
      <c r="G389" s="4" t="str">
        <f>'[2]LAB CIVIL'!B299</f>
        <v>4-011327</v>
      </c>
      <c r="H389" t="str">
        <f>'[2]LAB CIVIL'!C299</f>
        <v>EQUIPO DE COMPACTACION MARCA MATEST MODELO S185 PROCEDENCIA DE ITALIA SERIE S185-04/BB/0002</v>
      </c>
      <c r="I389" s="5" t="str">
        <f>'[2]LAB CIVIL'!D299</f>
        <v>Regular</v>
      </c>
    </row>
    <row r="390" spans="1:9" x14ac:dyDescent="0.25">
      <c r="A390" s="4">
        <f t="shared" si="6"/>
        <v>389</v>
      </c>
      <c r="B390" s="4" t="s">
        <v>12</v>
      </c>
      <c r="C390" t="str">
        <f>'[2]LAB CIVIL'!$C$4</f>
        <v>DIEGO LEONARDO SIMONS LINARES</v>
      </c>
      <c r="E390" t="s">
        <v>13</v>
      </c>
      <c r="F390" t="s">
        <v>123</v>
      </c>
      <c r="G390" s="4">
        <f>'[2]LAB CIVIL'!B300</f>
        <v>8757</v>
      </c>
      <c r="H390" t="str">
        <f>'[2]LAB CIVIL'!C300</f>
        <v>CRUCETA, EN FORMA DE 'T' CON CONEXI-N A 1' Y PARA EXTRACCION DE MUESTRAS ALTERADAS</v>
      </c>
      <c r="I390" s="5" t="str">
        <f>'[2]LAB CIVIL'!D300</f>
        <v>Regular</v>
      </c>
    </row>
    <row r="391" spans="1:9" x14ac:dyDescent="0.25">
      <c r="A391" s="4">
        <f t="shared" si="6"/>
        <v>390</v>
      </c>
      <c r="B391" s="4" t="s">
        <v>12</v>
      </c>
      <c r="C391" t="str">
        <f>'[2]LAB CIVIL'!$C$4</f>
        <v>DIEGO LEONARDO SIMONS LINARES</v>
      </c>
      <c r="E391" t="s">
        <v>13</v>
      </c>
      <c r="F391" t="s">
        <v>123</v>
      </c>
      <c r="G391" s="4" t="str">
        <f>'[2]LAB CIVIL'!B301</f>
        <v>4-07116</v>
      </c>
      <c r="H391" t="str">
        <f>'[2]LAB CIVIL'!C301</f>
        <v>CRUCETA, EN FORMA DE 'T' CON CONEXION A 1' Y PARA EXTRACCION DE MUESTRAS ALTERADAS</v>
      </c>
      <c r="I391" s="5" t="str">
        <f>'[2]LAB CIVIL'!D301</f>
        <v>Regular</v>
      </c>
    </row>
    <row r="392" spans="1:9" x14ac:dyDescent="0.25">
      <c r="A392" s="4">
        <f t="shared" si="6"/>
        <v>391</v>
      </c>
      <c r="B392" s="4" t="s">
        <v>12</v>
      </c>
      <c r="C392" t="str">
        <f>'[2]LAB CIVIL'!$C$4</f>
        <v>DIEGO LEONARDO SIMONS LINARES</v>
      </c>
      <c r="E392" t="s">
        <v>13</v>
      </c>
      <c r="F392" t="s">
        <v>123</v>
      </c>
      <c r="G392" s="4">
        <f>'[2]LAB CIVIL'!B302</f>
        <v>8736</v>
      </c>
      <c r="H392" t="str">
        <f>'[2]LAB CIVIL'!C302</f>
        <v>TORRE DESMONTABLE, COLOR BRONCE, CANTIDAD DE PIEZAS 4.</v>
      </c>
      <c r="I392" s="5" t="str">
        <f>'[2]LAB CIVIL'!D302</f>
        <v>Regular</v>
      </c>
    </row>
    <row r="393" spans="1:9" x14ac:dyDescent="0.25">
      <c r="A393" s="4">
        <f t="shared" si="6"/>
        <v>392</v>
      </c>
      <c r="B393" s="4" t="s">
        <v>12</v>
      </c>
      <c r="C393" t="str">
        <f>'[2]LAB CIVIL'!$C$4</f>
        <v>DIEGO LEONARDO SIMONS LINARES</v>
      </c>
      <c r="E393" t="s">
        <v>13</v>
      </c>
      <c r="F393" t="s">
        <v>123</v>
      </c>
      <c r="G393" s="4" t="str">
        <f>'[2]LAB CIVIL'!B303</f>
        <v>4-07094</v>
      </c>
      <c r="H393" t="str">
        <f>'[2]LAB CIVIL'!C303</f>
        <v>ESTRACTOR DE PROBETAS UNIVERSAL, MARCA MATEST, MODELO S114, PROCEDENCIA ITALIA, COLOR AZUL Y PLATA, CANTIDAD DE PIEZAS 4</v>
      </c>
      <c r="I393" s="5" t="str">
        <f>'[2]LAB CIVIL'!D303</f>
        <v>Regular</v>
      </c>
    </row>
    <row r="394" spans="1:9" x14ac:dyDescent="0.25">
      <c r="A394" s="4">
        <f t="shared" si="6"/>
        <v>393</v>
      </c>
      <c r="B394" s="4" t="s">
        <v>12</v>
      </c>
      <c r="C394" t="str">
        <f>'[2]LAB CIVIL'!$C$4</f>
        <v>DIEGO LEONARDO SIMONS LINARES</v>
      </c>
      <c r="E394" t="s">
        <v>13</v>
      </c>
      <c r="F394" t="s">
        <v>123</v>
      </c>
      <c r="G394" s="4" t="str">
        <f>'[2]LAB CIVIL'!B304</f>
        <v>4-05437</v>
      </c>
      <c r="H394" t="str">
        <f>'[2]LAB CIVIL'!C304</f>
        <v>TAMIZADORA ELECTRICA CON TEMPORIZADOR DIGITAL PROGRAMABLE MOTOR 250 W,1.5 AMP., RPM 1420 COLOR VERDE</v>
      </c>
      <c r="I394" s="5" t="str">
        <f>'[2]LAB CIVIL'!D304</f>
        <v>Regular</v>
      </c>
    </row>
    <row r="395" spans="1:9" x14ac:dyDescent="0.25">
      <c r="A395" s="4">
        <f t="shared" si="6"/>
        <v>394</v>
      </c>
      <c r="B395" s="4" t="s">
        <v>12</v>
      </c>
      <c r="C395" t="str">
        <f>'[2]LAB CIVIL'!$C$4</f>
        <v>DIEGO LEONARDO SIMONS LINARES</v>
      </c>
      <c r="E395" t="s">
        <v>13</v>
      </c>
      <c r="F395" t="s">
        <v>123</v>
      </c>
      <c r="G395" s="4" t="str">
        <f>'[2]LAB CIVIL'!B305</f>
        <v>4-011314</v>
      </c>
      <c r="H395" t="str">
        <f>'[2]LAB CIVIL'!C305</f>
        <v>TAMIZADORA ELECTROMAGNETICA MARCA MATEST MODELO A059-02 KIT PROCEDENCIA ITALIA SERIE A059-02/BC/0061</v>
      </c>
      <c r="I395" s="5" t="str">
        <f>'[2]LAB CIVIL'!D305</f>
        <v>Regular</v>
      </c>
    </row>
    <row r="396" spans="1:9" x14ac:dyDescent="0.25">
      <c r="A396" s="4">
        <f t="shared" si="6"/>
        <v>395</v>
      </c>
      <c r="B396" s="4" t="s">
        <v>12</v>
      </c>
      <c r="C396" t="str">
        <f>'[2]LAB CIVIL'!$C$4</f>
        <v>DIEGO LEONARDO SIMONS LINARES</v>
      </c>
      <c r="E396" t="s">
        <v>13</v>
      </c>
      <c r="F396" t="s">
        <v>123</v>
      </c>
      <c r="G396" s="4" t="str">
        <f>'[2]LAB CIVIL'!B306</f>
        <v>4-11634</v>
      </c>
      <c r="H396" t="str">
        <f>'[2]LAB CIVIL'!C306</f>
        <v>TAMIZADOR CON MALLA DE 2MM INOX 304 MARCA MATEST MODELO A059-01 KIT S/N A059-12/BC/0090 PROCEDENCIA ITALIA</v>
      </c>
      <c r="I396" s="5" t="str">
        <f>'[2]LAB CIVIL'!D306</f>
        <v>Regular</v>
      </c>
    </row>
    <row r="397" spans="1:9" x14ac:dyDescent="0.25">
      <c r="A397" s="4">
        <f t="shared" si="6"/>
        <v>396</v>
      </c>
      <c r="B397" s="4" t="s">
        <v>12</v>
      </c>
      <c r="C397" t="str">
        <f>'[2]LAB CIVIL'!$C$4</f>
        <v>DIEGO LEONARDO SIMONS LINARES</v>
      </c>
      <c r="E397" t="s">
        <v>13</v>
      </c>
      <c r="F397" t="s">
        <v>123</v>
      </c>
      <c r="G397" s="4" t="str">
        <f>'[2]LAB CIVIL'!B307</f>
        <v>4-08787</v>
      </c>
      <c r="H397" t="str">
        <f>'[2]LAB CIVIL'!C307</f>
        <v>MEDIDOR DE HUMEDAD SPEEDY MARCA MATEST MOD. A026-KIT CON BALANZA ELECTRONICA LATA DE REACTIVO CAPACIDAD DE 20 GRAMOS RANGO DE HUMEDAD 0-20% PESO 8 KG.</v>
      </c>
      <c r="I397" s="5" t="str">
        <f>'[2]LAB CIVIL'!D307</f>
        <v>Regular</v>
      </c>
    </row>
    <row r="398" spans="1:9" x14ac:dyDescent="0.25">
      <c r="A398" s="4">
        <f t="shared" si="6"/>
        <v>397</v>
      </c>
      <c r="B398" s="4" t="s">
        <v>12</v>
      </c>
      <c r="C398" t="str">
        <f>'[2]LAB CIVIL'!$C$4</f>
        <v>DIEGO LEONARDO SIMONS LINARES</v>
      </c>
      <c r="E398" t="s">
        <v>13</v>
      </c>
      <c r="F398" t="s">
        <v>123</v>
      </c>
      <c r="G398" s="4" t="str">
        <f>'[2]LAB CIVIL'!B308</f>
        <v>4-08780</v>
      </c>
      <c r="H398" t="str">
        <f>'[2]LAB CIVIL'!C308</f>
        <v>HORNO PARA LABORATORIO MARCA MATEST MOD. A008-03 KIT CON VENTILACION FORZADA CAPAC 220 LTRS POTENCIA 2050W MEDIDAS: 0,60*0,61*0,60</v>
      </c>
      <c r="I398" s="5" t="str">
        <f>'[2]LAB CIVIL'!D308</f>
        <v>Regular</v>
      </c>
    </row>
    <row r="399" spans="1:9" x14ac:dyDescent="0.25">
      <c r="A399" s="4">
        <f t="shared" si="6"/>
        <v>398</v>
      </c>
      <c r="B399" s="4" t="s">
        <v>12</v>
      </c>
      <c r="C399" t="str">
        <f>'[2]LAB CIVIL'!$C$4</f>
        <v>DIEGO LEONARDO SIMONS LINARES</v>
      </c>
      <c r="E399" t="s">
        <v>13</v>
      </c>
      <c r="F399" t="s">
        <v>123</v>
      </c>
      <c r="G399" s="4" t="str">
        <f>'[2]LAB CIVIL'!B309</f>
        <v>4-011344</v>
      </c>
      <c r="H399" t="str">
        <f>'[2]LAB CIVIL'!C309</f>
        <v>HORNO DE DESGASIFICACION AL VACIO (VDO) MARCA MATEST MODELO B091M-01 PROCEDENCIA DE ITALIA SERIE B091M-01/BC/0002</v>
      </c>
      <c r="I399" s="5" t="str">
        <f>'[2]LAB CIVIL'!D309</f>
        <v>Malo</v>
      </c>
    </row>
    <row r="400" spans="1:9" x14ac:dyDescent="0.25">
      <c r="A400" s="4">
        <f t="shared" si="6"/>
        <v>399</v>
      </c>
      <c r="B400" s="4" t="s">
        <v>12</v>
      </c>
      <c r="C400" t="str">
        <f>'[2]LAB CIVIL'!$C$4</f>
        <v>DIEGO LEONARDO SIMONS LINARES</v>
      </c>
      <c r="E400" t="s">
        <v>13</v>
      </c>
      <c r="F400" t="s">
        <v>123</v>
      </c>
      <c r="G400" s="4" t="str">
        <f>'[2]LAB CIVIL'!B310</f>
        <v>4-011341</v>
      </c>
      <c r="H400" t="str">
        <f>'[2]LAB CIVIL'!C310</f>
        <v>RECIPIENTE DE ENVEJECIMIENTO A PRESION (PAV) MARCA MATEST MODELO B091M PROCEDENCIA DE ITALIA SERIE B091M/BC/0017</v>
      </c>
      <c r="I400" s="5" t="str">
        <f>'[2]LAB CIVIL'!D310</f>
        <v>Regular</v>
      </c>
    </row>
    <row r="401" spans="1:9" x14ac:dyDescent="0.25">
      <c r="A401" s="4">
        <f t="shared" si="6"/>
        <v>400</v>
      </c>
      <c r="B401" s="4" t="s">
        <v>12</v>
      </c>
      <c r="C401" t="str">
        <f>'[2]LAB CIVIL'!$C$4</f>
        <v>DIEGO LEONARDO SIMONS LINARES</v>
      </c>
      <c r="E401" t="s">
        <v>13</v>
      </c>
      <c r="F401" t="s">
        <v>123</v>
      </c>
      <c r="G401" s="4">
        <f>'[2]LAB CIVIL'!B311</f>
        <v>8495</v>
      </c>
      <c r="H401" t="str">
        <f>'[2]LAB CIVIL'!C311</f>
        <v>ANILLO DE CARGA DE 11000 LB (H-4454100)</v>
      </c>
      <c r="I401" s="5" t="str">
        <f>'[2]LAB CIVIL'!D311</f>
        <v>Regular</v>
      </c>
    </row>
    <row r="402" spans="1:9" x14ac:dyDescent="0.25">
      <c r="A402" s="4">
        <f t="shared" si="6"/>
        <v>401</v>
      </c>
      <c r="B402" s="4" t="s">
        <v>12</v>
      </c>
      <c r="C402" t="str">
        <f>'[2]LAB CIVIL'!$C$4</f>
        <v>DIEGO LEONARDO SIMONS LINARES</v>
      </c>
      <c r="E402" t="s">
        <v>13</v>
      </c>
      <c r="F402" t="s">
        <v>123</v>
      </c>
      <c r="G402" s="4" t="str">
        <f>'[2]LAB CIVIL'!B312</f>
        <v>4-05439</v>
      </c>
      <c r="H402" t="str">
        <f>'[2]LAB CIVIL'!C312</f>
        <v>ANILLO DE CARGA 2200 LB (H-4454020)</v>
      </c>
      <c r="I402" s="5" t="str">
        <f>'[2]LAB CIVIL'!D312</f>
        <v>Regular</v>
      </c>
    </row>
    <row r="403" spans="1:9" x14ac:dyDescent="0.25">
      <c r="A403" s="4">
        <f t="shared" si="6"/>
        <v>402</v>
      </c>
      <c r="B403" s="4" t="s">
        <v>12</v>
      </c>
      <c r="C403" t="str">
        <f>'[2]LAB CIVIL'!$C$4</f>
        <v>DIEGO LEONARDO SIMONS LINARES</v>
      </c>
      <c r="E403" t="s">
        <v>13</v>
      </c>
      <c r="F403" t="s">
        <v>123</v>
      </c>
      <c r="G403" s="4" t="str">
        <f>'[2]LAB CIVIL'!B313</f>
        <v>4-07078</v>
      </c>
      <c r="H403" t="str">
        <f>'[2]LAB CIVIL'!C313</f>
        <v>BAÑO MARIA MARCA MATEST, MODELO: B-052 SERIE: B/052/AF/0010 MATERIAL METALICO</v>
      </c>
      <c r="I403" s="5" t="str">
        <f>'[2]LAB CIVIL'!D313</f>
        <v>Regular</v>
      </c>
    </row>
    <row r="404" spans="1:9" ht="14.25" customHeight="1" x14ac:dyDescent="0.25">
      <c r="A404" s="4">
        <f t="shared" si="6"/>
        <v>403</v>
      </c>
      <c r="B404" s="4" t="s">
        <v>12</v>
      </c>
      <c r="C404" t="str">
        <f>'[2]ATAHUICHI (ELECTRÓNICA)'!$C$4</f>
        <v>BRYAN JOSE ATAHUICHI PINTO</v>
      </c>
      <c r="E404" t="s">
        <v>14</v>
      </c>
      <c r="F404" t="s">
        <v>124</v>
      </c>
      <c r="G404" s="4" t="str">
        <f>'[2]ATAHUICHI (ELECTRÓNICA)'!B9</f>
        <v>4-09533</v>
      </c>
      <c r="H404" t="s">
        <v>15</v>
      </c>
      <c r="I404" s="5" t="str">
        <f>'[2]ATAHUICHI (ELECTRÓNICA)'!F9</f>
        <v>Regular</v>
      </c>
    </row>
    <row r="405" spans="1:9" ht="14.25" customHeight="1" x14ac:dyDescent="0.25">
      <c r="A405" s="4">
        <f t="shared" si="6"/>
        <v>404</v>
      </c>
      <c r="B405" s="4" t="s">
        <v>12</v>
      </c>
      <c r="C405" t="str">
        <f>'[2]ATAHUICHI (ELECTRÓNICA)'!$C$4</f>
        <v>BRYAN JOSE ATAHUICHI PINTO</v>
      </c>
      <c r="E405" t="s">
        <v>14</v>
      </c>
      <c r="F405" t="s">
        <v>124</v>
      </c>
      <c r="G405" s="4" t="str">
        <f>'[2]ATAHUICHI (ELECTRÓNICA)'!B10</f>
        <v>4-05963</v>
      </c>
      <c r="H405" t="s">
        <v>16</v>
      </c>
      <c r="I405" s="5" t="str">
        <f>'[2]ATAHUICHI (ELECTRÓNICA)'!F10</f>
        <v>Regular</v>
      </c>
    </row>
    <row r="406" spans="1:9" x14ac:dyDescent="0.25">
      <c r="A406" s="4">
        <f t="shared" si="6"/>
        <v>405</v>
      </c>
      <c r="B406" s="4" t="s">
        <v>12</v>
      </c>
      <c r="C406" t="str">
        <f>'[2]ATAHUICHI (ELECTRÓNICA)'!$C$4</f>
        <v>BRYAN JOSE ATAHUICHI PINTO</v>
      </c>
      <c r="E406" t="s">
        <v>14</v>
      </c>
      <c r="F406" t="s">
        <v>124</v>
      </c>
      <c r="G406" s="4" t="str">
        <f>'[2]ATAHUICHI (ELECTRÓNICA)'!B11</f>
        <v>4-05965</v>
      </c>
      <c r="H406" t="s">
        <v>17</v>
      </c>
      <c r="I406" s="5" t="str">
        <f>'[2]ATAHUICHI (ELECTRÓNICA)'!F11</f>
        <v>Regular</v>
      </c>
    </row>
    <row r="407" spans="1:9" x14ac:dyDescent="0.25">
      <c r="A407" s="4">
        <f t="shared" si="6"/>
        <v>406</v>
      </c>
      <c r="B407" s="4" t="s">
        <v>12</v>
      </c>
      <c r="C407" t="str">
        <f>'[2]ATAHUICHI (ELECTRÓNICA)'!$C$4</f>
        <v>BRYAN JOSE ATAHUICHI PINTO</v>
      </c>
      <c r="E407" t="s">
        <v>14</v>
      </c>
      <c r="F407" t="s">
        <v>124</v>
      </c>
      <c r="G407" s="4" t="str">
        <f>'[2]ATAHUICHI (ELECTRÓNICA)'!B12</f>
        <v>4-05967</v>
      </c>
      <c r="H407" t="s">
        <v>18</v>
      </c>
      <c r="I407" s="5" t="str">
        <f>'[2]ATAHUICHI (ELECTRÓNICA)'!F12</f>
        <v>Regular</v>
      </c>
    </row>
    <row r="408" spans="1:9" x14ac:dyDescent="0.25">
      <c r="A408" s="4">
        <f t="shared" si="6"/>
        <v>407</v>
      </c>
      <c r="B408" s="4" t="s">
        <v>12</v>
      </c>
      <c r="C408" t="str">
        <f>'[2]ATAHUICHI (ELECTRÓNICA)'!$C$4</f>
        <v>BRYAN JOSE ATAHUICHI PINTO</v>
      </c>
      <c r="E408" t="s">
        <v>14</v>
      </c>
      <c r="F408" t="s">
        <v>124</v>
      </c>
      <c r="G408" s="4" t="str">
        <f>'[2]ATAHUICHI (ELECTRÓNICA)'!B13</f>
        <v>4-05958</v>
      </c>
      <c r="H408" t="s">
        <v>19</v>
      </c>
      <c r="I408" s="5" t="str">
        <f>'[2]ATAHUICHI (ELECTRÓNICA)'!F13</f>
        <v>Regular</v>
      </c>
    </row>
    <row r="409" spans="1:9" x14ac:dyDescent="0.25">
      <c r="A409" s="4">
        <f t="shared" si="6"/>
        <v>408</v>
      </c>
      <c r="B409" s="4" t="s">
        <v>12</v>
      </c>
      <c r="C409" t="str">
        <f>'[2]ATAHUICHI (ELECTRÓNICA)'!$C$4</f>
        <v>BRYAN JOSE ATAHUICHI PINTO</v>
      </c>
      <c r="E409" t="s">
        <v>14</v>
      </c>
      <c r="F409" t="s">
        <v>124</v>
      </c>
      <c r="G409" s="4" t="str">
        <f>'[2]ATAHUICHI (ELECTRÓNICA)'!B14</f>
        <v>4-05964</v>
      </c>
      <c r="H409" t="s">
        <v>20</v>
      </c>
      <c r="I409" s="5" t="str">
        <f>'[2]ATAHUICHI (ELECTRÓNICA)'!F14</f>
        <v>Regular</v>
      </c>
    </row>
    <row r="410" spans="1:9" x14ac:dyDescent="0.25">
      <c r="A410" s="4">
        <f t="shared" si="6"/>
        <v>409</v>
      </c>
      <c r="B410" s="4" t="s">
        <v>12</v>
      </c>
      <c r="C410" t="str">
        <f>'[2]ATAHUICHI (ELECTRÓNICA)'!$C$4</f>
        <v>BRYAN JOSE ATAHUICHI PINTO</v>
      </c>
      <c r="E410" t="s">
        <v>14</v>
      </c>
      <c r="F410" t="s">
        <v>124</v>
      </c>
      <c r="G410" s="4" t="str">
        <f>'[2]ATAHUICHI (ELECTRÓNICA)'!B15</f>
        <v>4-05959</v>
      </c>
      <c r="H410" t="s">
        <v>21</v>
      </c>
      <c r="I410" s="5" t="str">
        <f>'[2]ATAHUICHI (ELECTRÓNICA)'!F15</f>
        <v>Regular</v>
      </c>
    </row>
    <row r="411" spans="1:9" x14ac:dyDescent="0.25">
      <c r="A411" s="4">
        <f t="shared" si="6"/>
        <v>410</v>
      </c>
      <c r="B411" s="4" t="s">
        <v>12</v>
      </c>
      <c r="C411" t="str">
        <f>'[2]ATAHUICHI (ELECTRÓNICA)'!$C$4</f>
        <v>BRYAN JOSE ATAHUICHI PINTO</v>
      </c>
      <c r="E411" t="s">
        <v>14</v>
      </c>
      <c r="F411" t="s">
        <v>124</v>
      </c>
      <c r="G411" s="4" t="str">
        <f>'[2]ATAHUICHI (ELECTRÓNICA)'!B16</f>
        <v>4-05962</v>
      </c>
      <c r="H411" t="s">
        <v>22</v>
      </c>
      <c r="I411" s="5" t="str">
        <f>'[2]ATAHUICHI (ELECTRÓNICA)'!F16</f>
        <v>Regular</v>
      </c>
    </row>
    <row r="412" spans="1:9" x14ac:dyDescent="0.25">
      <c r="A412" s="4">
        <f t="shared" si="6"/>
        <v>411</v>
      </c>
      <c r="B412" s="4" t="s">
        <v>12</v>
      </c>
      <c r="C412" t="str">
        <f>'[2]ATAHUICHI (ELECTRÓNICA)'!$C$4</f>
        <v>BRYAN JOSE ATAHUICHI PINTO</v>
      </c>
      <c r="E412" t="s">
        <v>14</v>
      </c>
      <c r="F412" t="s">
        <v>124</v>
      </c>
      <c r="G412" s="4" t="str">
        <f>'[2]ATAHUICHI (ELECTRÓNICA)'!B17</f>
        <v>4-05934</v>
      </c>
      <c r="H412" t="s">
        <v>23</v>
      </c>
      <c r="I412" s="5" t="str">
        <f>'[2]ATAHUICHI (ELECTRÓNICA)'!F17</f>
        <v>Regular</v>
      </c>
    </row>
    <row r="413" spans="1:9" x14ac:dyDescent="0.25">
      <c r="A413" s="4">
        <f t="shared" si="6"/>
        <v>412</v>
      </c>
      <c r="B413" s="4" t="s">
        <v>12</v>
      </c>
      <c r="C413" t="str">
        <f>'[2]ATAHUICHI (ELECTRÓNICA)'!$C$4</f>
        <v>BRYAN JOSE ATAHUICHI PINTO</v>
      </c>
      <c r="E413" t="s">
        <v>14</v>
      </c>
      <c r="F413" t="s">
        <v>124</v>
      </c>
      <c r="G413" s="4" t="str">
        <f>'[2]ATAHUICHI (ELECTRÓNICA)'!B18</f>
        <v>4-05966</v>
      </c>
      <c r="H413" t="s">
        <v>24</v>
      </c>
      <c r="I413" s="5" t="str">
        <f>'[2]ATAHUICHI (ELECTRÓNICA)'!F18</f>
        <v>Regular</v>
      </c>
    </row>
    <row r="414" spans="1:9" x14ac:dyDescent="0.25">
      <c r="A414" s="4">
        <f t="shared" si="6"/>
        <v>413</v>
      </c>
      <c r="B414" s="4" t="s">
        <v>12</v>
      </c>
      <c r="C414" t="str">
        <f>'[2]ATAHUICHI (ELECTRÓNICA)'!$C$4</f>
        <v>BRYAN JOSE ATAHUICHI PINTO</v>
      </c>
      <c r="E414" t="s">
        <v>14</v>
      </c>
      <c r="F414" t="s">
        <v>124</v>
      </c>
      <c r="G414" s="4" t="str">
        <f>'[2]ATAHUICHI (ELECTRÓNICA)'!B19</f>
        <v>4-05935</v>
      </c>
      <c r="H414" t="s">
        <v>25</v>
      </c>
      <c r="I414" s="5" t="str">
        <f>'[2]ATAHUICHI (ELECTRÓNICA)'!F19</f>
        <v>Regular</v>
      </c>
    </row>
    <row r="415" spans="1:9" x14ac:dyDescent="0.25">
      <c r="A415" s="4">
        <f t="shared" si="6"/>
        <v>414</v>
      </c>
      <c r="B415" s="4" t="s">
        <v>12</v>
      </c>
      <c r="C415" t="str">
        <f>'[2]ATAHUICHI (ELECTRÓNICA)'!$C$4</f>
        <v>BRYAN JOSE ATAHUICHI PINTO</v>
      </c>
      <c r="E415" t="s">
        <v>14</v>
      </c>
      <c r="F415" t="s">
        <v>124</v>
      </c>
      <c r="G415" s="4" t="str">
        <f>'[2]ATAHUICHI (ELECTRÓNICA)'!B20</f>
        <v>4-05960</v>
      </c>
      <c r="H415" t="s">
        <v>26</v>
      </c>
      <c r="I415" s="5" t="str">
        <f>'[2]ATAHUICHI (ELECTRÓNICA)'!F20</f>
        <v>Regular</v>
      </c>
    </row>
    <row r="416" spans="1:9" x14ac:dyDescent="0.25">
      <c r="A416" s="4">
        <f t="shared" si="6"/>
        <v>415</v>
      </c>
      <c r="B416" s="4" t="s">
        <v>12</v>
      </c>
      <c r="C416" t="str">
        <f>'[2]ATAHUICHI (ELECTRÓNICA)'!$C$4</f>
        <v>BRYAN JOSE ATAHUICHI PINTO</v>
      </c>
      <c r="E416" t="s">
        <v>14</v>
      </c>
      <c r="F416" t="s">
        <v>124</v>
      </c>
      <c r="G416" s="4" t="str">
        <f>'[2]ATAHUICHI (ELECTRÓNICA)'!B21</f>
        <v>4-05933</v>
      </c>
      <c r="H416" t="s">
        <v>27</v>
      </c>
      <c r="I416" s="5" t="str">
        <f>'[2]ATAHUICHI (ELECTRÓNICA)'!F21</f>
        <v>Regular</v>
      </c>
    </row>
    <row r="417" spans="1:9" x14ac:dyDescent="0.25">
      <c r="A417" s="4">
        <f t="shared" si="6"/>
        <v>416</v>
      </c>
      <c r="B417" s="4" t="s">
        <v>12</v>
      </c>
      <c r="C417" t="str">
        <f>'[2]ATAHUICHI (ELECTRÓNICA)'!$C$4</f>
        <v>BRYAN JOSE ATAHUICHI PINTO</v>
      </c>
      <c r="E417" t="s">
        <v>14</v>
      </c>
      <c r="F417" t="s">
        <v>124</v>
      </c>
      <c r="G417" s="4" t="str">
        <f>'[2]ATAHUICHI (ELECTRÓNICA)'!B22</f>
        <v>4-05930</v>
      </c>
      <c r="H417" t="s">
        <v>28</v>
      </c>
      <c r="I417" s="5" t="str">
        <f>'[2]ATAHUICHI (ELECTRÓNICA)'!F22</f>
        <v>Regular</v>
      </c>
    </row>
    <row r="418" spans="1:9" x14ac:dyDescent="0.25">
      <c r="A418" s="4">
        <f t="shared" si="6"/>
        <v>417</v>
      </c>
      <c r="B418" s="4" t="s">
        <v>12</v>
      </c>
      <c r="C418" t="str">
        <f>'[2]ATAHUICHI (ELECTRÓNICA)'!$C$4</f>
        <v>BRYAN JOSE ATAHUICHI PINTO</v>
      </c>
      <c r="E418" t="s">
        <v>14</v>
      </c>
      <c r="F418" t="s">
        <v>124</v>
      </c>
      <c r="G418" s="4" t="str">
        <f>'[2]ATAHUICHI (ELECTRÓNICA)'!B23</f>
        <v>4-05931</v>
      </c>
      <c r="H418" t="s">
        <v>29</v>
      </c>
      <c r="I418" s="5" t="str">
        <f>'[2]ATAHUICHI (ELECTRÓNICA)'!F23</f>
        <v>Regular</v>
      </c>
    </row>
    <row r="419" spans="1:9" x14ac:dyDescent="0.25">
      <c r="A419" s="4">
        <f t="shared" si="6"/>
        <v>418</v>
      </c>
      <c r="B419" s="4" t="s">
        <v>12</v>
      </c>
      <c r="C419" t="str">
        <f>'[2]ATAHUICHI (ELECTRÓNICA)'!$C$4</f>
        <v>BRYAN JOSE ATAHUICHI PINTO</v>
      </c>
      <c r="E419" t="s">
        <v>14</v>
      </c>
      <c r="F419" t="s">
        <v>124</v>
      </c>
      <c r="G419" s="4" t="str">
        <f>'[2]ATAHUICHI (ELECTRÓNICA)'!B24</f>
        <v>4-05932</v>
      </c>
      <c r="H419" t="s">
        <v>30</v>
      </c>
      <c r="I419" s="5" t="str">
        <f>'[2]ATAHUICHI (ELECTRÓNICA)'!F24</f>
        <v>Regular</v>
      </c>
    </row>
    <row r="420" spans="1:9" x14ac:dyDescent="0.25">
      <c r="A420" s="4">
        <f t="shared" si="6"/>
        <v>419</v>
      </c>
      <c r="B420" s="4" t="s">
        <v>12</v>
      </c>
      <c r="C420" t="str">
        <f>'[2]ATAHUICHI (ELECTRÓNICA)'!$C$4</f>
        <v>BRYAN JOSE ATAHUICHI PINTO</v>
      </c>
      <c r="E420" t="s">
        <v>14</v>
      </c>
      <c r="F420" t="s">
        <v>124</v>
      </c>
      <c r="G420" s="4" t="str">
        <f>'[2]ATAHUICHI (ELECTRÓNICA)'!B25</f>
        <v>4-05961</v>
      </c>
      <c r="H420" t="s">
        <v>31</v>
      </c>
      <c r="I420" s="5" t="str">
        <f>'[2]ATAHUICHI (ELECTRÓNICA)'!F25</f>
        <v>Regular</v>
      </c>
    </row>
    <row r="421" spans="1:9" x14ac:dyDescent="0.25">
      <c r="A421" s="4">
        <f t="shared" si="6"/>
        <v>420</v>
      </c>
      <c r="B421" s="4" t="s">
        <v>12</v>
      </c>
      <c r="C421" t="str">
        <f>'[2]ATAHUICHI (ELECTRÓNICA)'!$C$4</f>
        <v>BRYAN JOSE ATAHUICHI PINTO</v>
      </c>
      <c r="E421" t="s">
        <v>14</v>
      </c>
      <c r="F421" t="s">
        <v>124</v>
      </c>
      <c r="G421" s="4" t="str">
        <f>'[2]ATAHUICHI (ELECTRÓNICA)'!B26</f>
        <v>4-05892</v>
      </c>
      <c r="H421" t="s">
        <v>32</v>
      </c>
      <c r="I421" s="5" t="str">
        <f>'[2]ATAHUICHI (ELECTRÓNICA)'!F26</f>
        <v>Regular</v>
      </c>
    </row>
    <row r="422" spans="1:9" x14ac:dyDescent="0.25">
      <c r="A422" s="4">
        <f t="shared" si="6"/>
        <v>421</v>
      </c>
      <c r="B422" s="4" t="s">
        <v>12</v>
      </c>
      <c r="C422" t="str">
        <f>'[2]ATAHUICHI (ELECTRÓNICA)'!$C$4</f>
        <v>BRYAN JOSE ATAHUICHI PINTO</v>
      </c>
      <c r="E422" t="s">
        <v>14</v>
      </c>
      <c r="F422" t="s">
        <v>124</v>
      </c>
      <c r="G422" s="4" t="str">
        <f>'[2]ATAHUICHI (ELECTRÓNICA)'!B27</f>
        <v>4-05896</v>
      </c>
      <c r="H422" t="s">
        <v>33</v>
      </c>
      <c r="I422" s="5" t="str">
        <f>'[2]ATAHUICHI (ELECTRÓNICA)'!F27</f>
        <v>Regular</v>
      </c>
    </row>
    <row r="423" spans="1:9" x14ac:dyDescent="0.25">
      <c r="A423" s="4">
        <f t="shared" si="6"/>
        <v>422</v>
      </c>
      <c r="B423" s="4" t="s">
        <v>12</v>
      </c>
      <c r="C423" t="str">
        <f>'[2]ATAHUICHI (ELECTRÓNICA)'!$C$4</f>
        <v>BRYAN JOSE ATAHUICHI PINTO</v>
      </c>
      <c r="E423" t="s">
        <v>14</v>
      </c>
      <c r="F423" t="s">
        <v>124</v>
      </c>
      <c r="G423" s="4" t="str">
        <f>'[2]ATAHUICHI (ELECTRÓNICA)'!B28</f>
        <v>4-05899</v>
      </c>
      <c r="H423" t="s">
        <v>34</v>
      </c>
      <c r="I423" s="5" t="str">
        <f>'[2]ATAHUICHI (ELECTRÓNICA)'!F28</f>
        <v>Regular</v>
      </c>
    </row>
    <row r="424" spans="1:9" x14ac:dyDescent="0.25">
      <c r="A424" s="4">
        <f t="shared" si="6"/>
        <v>423</v>
      </c>
      <c r="B424" s="4" t="s">
        <v>12</v>
      </c>
      <c r="C424" t="str">
        <f>'[2]ATAHUICHI (ELECTRÓNICA)'!$C$4</f>
        <v>BRYAN JOSE ATAHUICHI PINTO</v>
      </c>
      <c r="E424" t="s">
        <v>14</v>
      </c>
      <c r="F424" t="s">
        <v>124</v>
      </c>
      <c r="G424" s="4" t="str">
        <f>'[2]ATAHUICHI (ELECTRÓNICA)'!B29</f>
        <v>4-05893</v>
      </c>
      <c r="H424" t="s">
        <v>35</v>
      </c>
      <c r="I424" s="5" t="str">
        <f>'[2]ATAHUICHI (ELECTRÓNICA)'!F29</f>
        <v>Regular</v>
      </c>
    </row>
    <row r="425" spans="1:9" x14ac:dyDescent="0.25">
      <c r="A425" s="4">
        <f t="shared" si="6"/>
        <v>424</v>
      </c>
      <c r="B425" s="4" t="s">
        <v>12</v>
      </c>
      <c r="C425" t="str">
        <f>'[2]ATAHUICHI (ELECTRÓNICA)'!$C$4</f>
        <v>BRYAN JOSE ATAHUICHI PINTO</v>
      </c>
      <c r="E425" t="s">
        <v>14</v>
      </c>
      <c r="F425" t="s">
        <v>124</v>
      </c>
      <c r="G425" s="4" t="str">
        <f>'[2]ATAHUICHI (ELECTRÓNICA)'!B30</f>
        <v>4-05897</v>
      </c>
      <c r="H425" t="s">
        <v>36</v>
      </c>
      <c r="I425" s="5" t="str">
        <f>'[2]ATAHUICHI (ELECTRÓNICA)'!F30</f>
        <v>Regular</v>
      </c>
    </row>
    <row r="426" spans="1:9" x14ac:dyDescent="0.25">
      <c r="A426" s="4">
        <f t="shared" si="6"/>
        <v>425</v>
      </c>
      <c r="B426" s="4" t="s">
        <v>12</v>
      </c>
      <c r="C426" t="str">
        <f>'[2]ATAHUICHI (ELECTRÓNICA)'!$C$4</f>
        <v>BRYAN JOSE ATAHUICHI PINTO</v>
      </c>
      <c r="E426" t="s">
        <v>14</v>
      </c>
      <c r="F426" t="s">
        <v>124</v>
      </c>
      <c r="G426" s="4" t="str">
        <f>'[2]ATAHUICHI (ELECTRÓNICA)'!B31</f>
        <v>4-05895</v>
      </c>
      <c r="H426" t="s">
        <v>37</v>
      </c>
      <c r="I426" s="5" t="str">
        <f>'[2]ATAHUICHI (ELECTRÓNICA)'!F31</f>
        <v>Regular</v>
      </c>
    </row>
    <row r="427" spans="1:9" x14ac:dyDescent="0.25">
      <c r="A427" s="4">
        <f t="shared" si="6"/>
        <v>426</v>
      </c>
      <c r="B427" s="4" t="s">
        <v>12</v>
      </c>
      <c r="C427" t="str">
        <f>'[2]ATAHUICHI (ELECTRÓNICA)'!$C$4</f>
        <v>BRYAN JOSE ATAHUICHI PINTO</v>
      </c>
      <c r="E427" t="s">
        <v>14</v>
      </c>
      <c r="F427" t="s">
        <v>124</v>
      </c>
      <c r="G427" s="4" t="str">
        <f>'[2]ATAHUICHI (ELECTRÓNICA)'!B32</f>
        <v>4-05898</v>
      </c>
      <c r="H427" t="s">
        <v>38</v>
      </c>
      <c r="I427" s="5" t="str">
        <f>'[2]ATAHUICHI (ELECTRÓNICA)'!F32</f>
        <v>Regular</v>
      </c>
    </row>
    <row r="428" spans="1:9" x14ac:dyDescent="0.25">
      <c r="A428" s="4">
        <f t="shared" si="6"/>
        <v>427</v>
      </c>
      <c r="B428" s="4" t="s">
        <v>12</v>
      </c>
      <c r="C428" t="str">
        <f>'[2]ATAHUICHI (ELECTRÓNICA)'!$C$4</f>
        <v>BRYAN JOSE ATAHUICHI PINTO</v>
      </c>
      <c r="E428" t="s">
        <v>14</v>
      </c>
      <c r="F428" t="s">
        <v>124</v>
      </c>
      <c r="G428" s="4" t="str">
        <f>'[2]ATAHUICHI (ELECTRÓNICA)'!B33</f>
        <v>4-05894</v>
      </c>
      <c r="H428" t="s">
        <v>39</v>
      </c>
      <c r="I428" s="5" t="str">
        <f>'[2]ATAHUICHI (ELECTRÓNICA)'!F33</f>
        <v>Regular</v>
      </c>
    </row>
    <row r="429" spans="1:9" x14ac:dyDescent="0.25">
      <c r="A429" s="4">
        <f t="shared" si="6"/>
        <v>428</v>
      </c>
      <c r="B429" s="4" t="s">
        <v>12</v>
      </c>
      <c r="C429" t="str">
        <f>'[2]ATAHUICHI (ELECTRÓNICA)'!$C$4</f>
        <v>BRYAN JOSE ATAHUICHI PINTO</v>
      </c>
      <c r="E429" t="s">
        <v>14</v>
      </c>
      <c r="F429" t="s">
        <v>124</v>
      </c>
      <c r="G429" s="4" t="str">
        <f>'[2]ATAHUICHI (ELECTRÓNICA)'!B34</f>
        <v>4-09532</v>
      </c>
      <c r="H429" t="s">
        <v>40</v>
      </c>
      <c r="I429" s="5" t="str">
        <f>'[2]ATAHUICHI (ELECTRÓNICA)'!F34</f>
        <v>Regular</v>
      </c>
    </row>
    <row r="430" spans="1:9" x14ac:dyDescent="0.25">
      <c r="A430" s="4">
        <f t="shared" si="6"/>
        <v>429</v>
      </c>
      <c r="B430" s="4" t="s">
        <v>12</v>
      </c>
      <c r="C430" t="str">
        <f>'[2]ATAHUICHI (ELECTRÓNICA)'!$C$4</f>
        <v>BRYAN JOSE ATAHUICHI PINTO</v>
      </c>
      <c r="E430" t="s">
        <v>14</v>
      </c>
      <c r="F430" t="s">
        <v>124</v>
      </c>
      <c r="G430" s="4" t="str">
        <f>'[2]ATAHUICHI (ELECTRÓNICA)'!B35</f>
        <v>4-05947</v>
      </c>
      <c r="H430" t="s">
        <v>41</v>
      </c>
      <c r="I430" s="5" t="str">
        <f>'[2]ATAHUICHI (ELECTRÓNICA)'!F35</f>
        <v>Regular</v>
      </c>
    </row>
    <row r="431" spans="1:9" x14ac:dyDescent="0.25">
      <c r="A431" s="4">
        <f t="shared" si="6"/>
        <v>430</v>
      </c>
      <c r="B431" s="4" t="s">
        <v>12</v>
      </c>
      <c r="C431" t="str">
        <f>'[2]ATAHUICHI (ELECTRÓNICA)'!$C$4</f>
        <v>BRYAN JOSE ATAHUICHI PINTO</v>
      </c>
      <c r="E431" t="s">
        <v>14</v>
      </c>
      <c r="F431" t="s">
        <v>124</v>
      </c>
      <c r="G431" s="4" t="str">
        <f>'[2]ATAHUICHI (ELECTRÓNICA)'!B36</f>
        <v>4-05946</v>
      </c>
      <c r="H431" t="s">
        <v>41</v>
      </c>
      <c r="I431" s="5" t="str">
        <f>'[2]ATAHUICHI (ELECTRÓNICA)'!F36</f>
        <v>Regular</v>
      </c>
    </row>
    <row r="432" spans="1:9" x14ac:dyDescent="0.25">
      <c r="A432" s="4">
        <f t="shared" si="6"/>
        <v>431</v>
      </c>
      <c r="B432" s="4" t="s">
        <v>12</v>
      </c>
      <c r="C432" t="str">
        <f>'[2]ATAHUICHI (ELECTRÓNICA)'!$C$4</f>
        <v>BRYAN JOSE ATAHUICHI PINTO</v>
      </c>
      <c r="E432" t="s">
        <v>14</v>
      </c>
      <c r="F432" t="s">
        <v>124</v>
      </c>
      <c r="G432" s="4" t="str">
        <f>'[2]ATAHUICHI (ELECTRÓNICA)'!B37</f>
        <v>4-05945</v>
      </c>
      <c r="H432" t="s">
        <v>41</v>
      </c>
      <c r="I432" s="5" t="str">
        <f>'[2]ATAHUICHI (ELECTRÓNICA)'!F37</f>
        <v>Regular</v>
      </c>
    </row>
    <row r="433" spans="1:9" x14ac:dyDescent="0.25">
      <c r="A433" s="4">
        <f t="shared" si="6"/>
        <v>432</v>
      </c>
      <c r="B433" s="4" t="s">
        <v>12</v>
      </c>
      <c r="C433" t="str">
        <f>'[2]ATAHUICHI (ELECTRÓNICA)'!$C$4</f>
        <v>BRYAN JOSE ATAHUICHI PINTO</v>
      </c>
      <c r="E433" t="s">
        <v>14</v>
      </c>
      <c r="F433" t="s">
        <v>124</v>
      </c>
      <c r="G433" s="4" t="str">
        <f>'[2]ATAHUICHI (ELECTRÓNICA)'!B38</f>
        <v>4-05944</v>
      </c>
      <c r="H433" t="s">
        <v>41</v>
      </c>
      <c r="I433" s="5" t="str">
        <f>'[2]ATAHUICHI (ELECTRÓNICA)'!F38</f>
        <v>Regular</v>
      </c>
    </row>
    <row r="434" spans="1:9" x14ac:dyDescent="0.25">
      <c r="A434" s="4">
        <f t="shared" si="6"/>
        <v>433</v>
      </c>
      <c r="B434" s="4" t="s">
        <v>12</v>
      </c>
      <c r="C434" t="str">
        <f>'[2]ATAHUICHI (ELECTRÓNICA)'!$C$4</f>
        <v>BRYAN JOSE ATAHUICHI PINTO</v>
      </c>
      <c r="E434" t="s">
        <v>14</v>
      </c>
      <c r="F434" t="s">
        <v>124</v>
      </c>
      <c r="G434" s="4" t="str">
        <f>'[2]ATAHUICHI (ELECTRÓNICA)'!B39</f>
        <v>4-05943</v>
      </c>
      <c r="H434" t="s">
        <v>41</v>
      </c>
      <c r="I434" s="5" t="str">
        <f>'[2]ATAHUICHI (ELECTRÓNICA)'!F39</f>
        <v>Regular</v>
      </c>
    </row>
    <row r="435" spans="1:9" x14ac:dyDescent="0.25">
      <c r="A435" s="4">
        <f t="shared" si="6"/>
        <v>434</v>
      </c>
      <c r="B435" s="4" t="s">
        <v>12</v>
      </c>
      <c r="C435" t="str">
        <f>'[2]ATAHUICHI (ELECTRÓNICA)'!$C$4</f>
        <v>BRYAN JOSE ATAHUICHI PINTO</v>
      </c>
      <c r="E435" t="s">
        <v>14</v>
      </c>
      <c r="F435" t="s">
        <v>124</v>
      </c>
      <c r="G435" s="4" t="str">
        <f>'[2]ATAHUICHI (ELECTRÓNICA)'!B40</f>
        <v>4-05901</v>
      </c>
      <c r="H435" t="s">
        <v>42</v>
      </c>
      <c r="I435" s="5" t="str">
        <f>'[2]ATAHUICHI (ELECTRÓNICA)'!F40</f>
        <v>Regular</v>
      </c>
    </row>
    <row r="436" spans="1:9" x14ac:dyDescent="0.25">
      <c r="A436" s="4">
        <f t="shared" si="6"/>
        <v>435</v>
      </c>
      <c r="B436" s="4" t="s">
        <v>12</v>
      </c>
      <c r="C436" t="str">
        <f>'[2]ATAHUICHI (ELECTRÓNICA)'!$C$4</f>
        <v>BRYAN JOSE ATAHUICHI PINTO</v>
      </c>
      <c r="E436" t="s">
        <v>14</v>
      </c>
      <c r="F436" t="s">
        <v>124</v>
      </c>
      <c r="G436" s="4" t="str">
        <f>'[2]ATAHUICHI (ELECTRÓNICA)'!B41</f>
        <v>4-05903</v>
      </c>
      <c r="H436" t="s">
        <v>43</v>
      </c>
      <c r="I436" s="5" t="str">
        <f>'[2]ATAHUICHI (ELECTRÓNICA)'!F41</f>
        <v>Regular</v>
      </c>
    </row>
    <row r="437" spans="1:9" x14ac:dyDescent="0.25">
      <c r="A437" s="4">
        <f t="shared" si="6"/>
        <v>436</v>
      </c>
      <c r="B437" s="4" t="s">
        <v>12</v>
      </c>
      <c r="C437" t="str">
        <f>'[2]ATAHUICHI (ELECTRÓNICA)'!$C$4</f>
        <v>BRYAN JOSE ATAHUICHI PINTO</v>
      </c>
      <c r="E437" t="s">
        <v>14</v>
      </c>
      <c r="F437" t="s">
        <v>124</v>
      </c>
      <c r="G437" s="4" t="str">
        <f>'[2]ATAHUICHI (ELECTRÓNICA)'!B42</f>
        <v>4-05900</v>
      </c>
      <c r="H437" t="s">
        <v>44</v>
      </c>
      <c r="I437" s="5" t="str">
        <f>'[2]ATAHUICHI (ELECTRÓNICA)'!F42</f>
        <v>Regular</v>
      </c>
    </row>
    <row r="438" spans="1:9" x14ac:dyDescent="0.25">
      <c r="A438" s="4">
        <f t="shared" si="6"/>
        <v>437</v>
      </c>
      <c r="B438" s="4" t="s">
        <v>12</v>
      </c>
      <c r="C438" t="str">
        <f>'[2]ATAHUICHI (ELECTRÓNICA)'!$C$4</f>
        <v>BRYAN JOSE ATAHUICHI PINTO</v>
      </c>
      <c r="E438" t="s">
        <v>14</v>
      </c>
      <c r="F438" t="s">
        <v>124</v>
      </c>
      <c r="G438" s="4" t="str">
        <f>'[2]ATAHUICHI (ELECTRÓNICA)'!B43</f>
        <v>4-05902</v>
      </c>
      <c r="H438" t="s">
        <v>45</v>
      </c>
      <c r="I438" s="5" t="str">
        <f>'[2]ATAHUICHI (ELECTRÓNICA)'!F43</f>
        <v>Regular</v>
      </c>
    </row>
    <row r="439" spans="1:9" x14ac:dyDescent="0.25">
      <c r="A439" s="4">
        <f t="shared" si="6"/>
        <v>438</v>
      </c>
      <c r="B439" s="4" t="s">
        <v>12</v>
      </c>
      <c r="C439" t="str">
        <f>'[2]ATAHUICHI (ELECTRÓNICA)'!$C$4</f>
        <v>BRYAN JOSE ATAHUICHI PINTO</v>
      </c>
      <c r="E439" t="s">
        <v>14</v>
      </c>
      <c r="F439" t="s">
        <v>124</v>
      </c>
      <c r="G439" s="4" t="str">
        <f>'[2]ATAHUICHI (ELECTRÓNICA)'!B44</f>
        <v>4-05907</v>
      </c>
      <c r="H439" t="s">
        <v>46</v>
      </c>
      <c r="I439" s="5" t="str">
        <f>'[2]ATAHUICHI (ELECTRÓNICA)'!F44</f>
        <v>Regular</v>
      </c>
    </row>
    <row r="440" spans="1:9" x14ac:dyDescent="0.25">
      <c r="A440" s="4">
        <f t="shared" si="6"/>
        <v>439</v>
      </c>
      <c r="B440" s="4" t="s">
        <v>12</v>
      </c>
      <c r="C440" t="str">
        <f>'[2]ATAHUICHI (ELECTRÓNICA)'!$C$4</f>
        <v>BRYAN JOSE ATAHUICHI PINTO</v>
      </c>
      <c r="E440" t="s">
        <v>14</v>
      </c>
      <c r="F440" t="s">
        <v>124</v>
      </c>
      <c r="G440" s="4" t="str">
        <f>'[2]ATAHUICHI (ELECTRÓNICA)'!B45</f>
        <v>4-05904</v>
      </c>
      <c r="H440" t="s">
        <v>47</v>
      </c>
      <c r="I440" s="5" t="str">
        <f>'[2]ATAHUICHI (ELECTRÓNICA)'!F45</f>
        <v>Regular</v>
      </c>
    </row>
    <row r="441" spans="1:9" x14ac:dyDescent="0.25">
      <c r="A441" s="4">
        <f t="shared" si="6"/>
        <v>440</v>
      </c>
      <c r="B441" s="4" t="s">
        <v>12</v>
      </c>
      <c r="C441" t="str">
        <f>'[2]ATAHUICHI (ELECTRÓNICA)'!$C$4</f>
        <v>BRYAN JOSE ATAHUICHI PINTO</v>
      </c>
      <c r="E441" t="s">
        <v>14</v>
      </c>
      <c r="F441" t="s">
        <v>124</v>
      </c>
      <c r="G441" s="4" t="str">
        <f>'[2]ATAHUICHI (ELECTRÓNICA)'!B46</f>
        <v>4-05906</v>
      </c>
      <c r="H441" t="s">
        <v>48</v>
      </c>
      <c r="I441" s="5" t="str">
        <f>'[2]ATAHUICHI (ELECTRÓNICA)'!F46</f>
        <v>Regular</v>
      </c>
    </row>
    <row r="442" spans="1:9" x14ac:dyDescent="0.25">
      <c r="A442" s="4">
        <f t="shared" si="6"/>
        <v>441</v>
      </c>
      <c r="B442" s="4" t="s">
        <v>12</v>
      </c>
      <c r="C442" t="str">
        <f>'[2]ATAHUICHI (ELECTRÓNICA)'!$C$4</f>
        <v>BRYAN JOSE ATAHUICHI PINTO</v>
      </c>
      <c r="E442" t="s">
        <v>14</v>
      </c>
      <c r="F442" t="s">
        <v>124</v>
      </c>
      <c r="G442" s="4" t="str">
        <f>'[2]ATAHUICHI (ELECTRÓNICA)'!B47</f>
        <v>4-05905</v>
      </c>
      <c r="H442" t="s">
        <v>49</v>
      </c>
      <c r="I442" s="5" t="str">
        <f>'[2]ATAHUICHI (ELECTRÓNICA)'!F47</f>
        <v>Regular</v>
      </c>
    </row>
    <row r="443" spans="1:9" x14ac:dyDescent="0.25">
      <c r="A443" s="4">
        <f t="shared" si="6"/>
        <v>442</v>
      </c>
      <c r="B443" s="4" t="s">
        <v>12</v>
      </c>
      <c r="C443" t="str">
        <f>'[2]ATAHUICHI (ELECTRÓNICA)'!$C$4</f>
        <v>BRYAN JOSE ATAHUICHI PINTO</v>
      </c>
      <c r="E443" t="s">
        <v>14</v>
      </c>
      <c r="F443" t="s">
        <v>124</v>
      </c>
      <c r="G443" s="4" t="str">
        <f>'[2]ATAHUICHI (ELECTRÓNICA)'!B48</f>
        <v>4-05883</v>
      </c>
      <c r="H443" t="s">
        <v>50</v>
      </c>
      <c r="I443" s="5" t="str">
        <f>'[2]ATAHUICHI (ELECTRÓNICA)'!F48</f>
        <v>Regular</v>
      </c>
    </row>
    <row r="444" spans="1:9" x14ac:dyDescent="0.25">
      <c r="A444" s="4">
        <f t="shared" si="6"/>
        <v>443</v>
      </c>
      <c r="B444" s="4" t="s">
        <v>12</v>
      </c>
      <c r="C444" t="str">
        <f>'[2]ATAHUICHI (ELECTRÓNICA)'!$C$4</f>
        <v>BRYAN JOSE ATAHUICHI PINTO</v>
      </c>
      <c r="E444" t="s">
        <v>14</v>
      </c>
      <c r="F444" t="s">
        <v>124</v>
      </c>
      <c r="G444" s="4" t="str">
        <f>'[2]ATAHUICHI (ELECTRÓNICA)'!B49</f>
        <v>4-05882</v>
      </c>
      <c r="H444" t="s">
        <v>50</v>
      </c>
      <c r="I444" s="5" t="str">
        <f>'[2]ATAHUICHI (ELECTRÓNICA)'!F49</f>
        <v>Regular</v>
      </c>
    </row>
    <row r="445" spans="1:9" x14ac:dyDescent="0.25">
      <c r="A445" s="4">
        <f t="shared" si="6"/>
        <v>444</v>
      </c>
      <c r="B445" s="4" t="s">
        <v>12</v>
      </c>
      <c r="C445" t="str">
        <f>'[2]ATAHUICHI (ELECTRÓNICA)'!$C$4</f>
        <v>BRYAN JOSE ATAHUICHI PINTO</v>
      </c>
      <c r="E445" t="s">
        <v>14</v>
      </c>
      <c r="F445" t="s">
        <v>124</v>
      </c>
      <c r="G445" s="4" t="str">
        <f>'[2]ATAHUICHI (ELECTRÓNICA)'!B50</f>
        <v>4-05881</v>
      </c>
      <c r="H445" t="s">
        <v>50</v>
      </c>
      <c r="I445" s="5" t="str">
        <f>'[2]ATAHUICHI (ELECTRÓNICA)'!F50</f>
        <v>Regular</v>
      </c>
    </row>
    <row r="446" spans="1:9" x14ac:dyDescent="0.25">
      <c r="A446" s="4">
        <f t="shared" si="6"/>
        <v>445</v>
      </c>
      <c r="B446" s="4" t="s">
        <v>12</v>
      </c>
      <c r="C446" t="str">
        <f>'[2]ATAHUICHI (ELECTRÓNICA)'!$C$4</f>
        <v>BRYAN JOSE ATAHUICHI PINTO</v>
      </c>
      <c r="E446" t="s">
        <v>14</v>
      </c>
      <c r="F446" t="s">
        <v>124</v>
      </c>
      <c r="G446" s="4" t="str">
        <f>'[2]ATAHUICHI (ELECTRÓNICA)'!B51</f>
        <v>4-05889</v>
      </c>
      <c r="H446" t="s">
        <v>51</v>
      </c>
      <c r="I446" s="5" t="str">
        <f>'[2]ATAHUICHI (ELECTRÓNICA)'!F51</f>
        <v>Regular</v>
      </c>
    </row>
    <row r="447" spans="1:9" x14ac:dyDescent="0.25">
      <c r="A447" s="4">
        <f t="shared" si="6"/>
        <v>446</v>
      </c>
      <c r="B447" s="4" t="s">
        <v>12</v>
      </c>
      <c r="C447" t="str">
        <f>'[2]ATAHUICHI (ELECTRÓNICA)'!$C$4</f>
        <v>BRYAN JOSE ATAHUICHI PINTO</v>
      </c>
      <c r="E447" t="s">
        <v>14</v>
      </c>
      <c r="F447" t="s">
        <v>124</v>
      </c>
      <c r="G447" s="4" t="str">
        <f>'[2]ATAHUICHI (ELECTRÓNICA)'!B52</f>
        <v>4-05884</v>
      </c>
      <c r="H447" t="s">
        <v>52</v>
      </c>
      <c r="I447" s="5" t="str">
        <f>'[2]ATAHUICHI (ELECTRÓNICA)'!F52</f>
        <v>Regular</v>
      </c>
    </row>
    <row r="448" spans="1:9" x14ac:dyDescent="0.25">
      <c r="A448" s="4">
        <f t="shared" si="6"/>
        <v>447</v>
      </c>
      <c r="B448" s="4" t="s">
        <v>12</v>
      </c>
      <c r="C448" t="str">
        <f>'[2]ATAHUICHI (ELECTRÓNICA)'!$C$4</f>
        <v>BRYAN JOSE ATAHUICHI PINTO</v>
      </c>
      <c r="E448" t="s">
        <v>14</v>
      </c>
      <c r="F448" t="s">
        <v>124</v>
      </c>
      <c r="G448" s="4" t="str">
        <f>'[2]ATAHUICHI (ELECTRÓNICA)'!B53</f>
        <v>4-05890</v>
      </c>
      <c r="H448" t="s">
        <v>53</v>
      </c>
      <c r="I448" s="5" t="str">
        <f>'[2]ATAHUICHI (ELECTRÓNICA)'!F53</f>
        <v>Regular</v>
      </c>
    </row>
    <row r="449" spans="1:9" x14ac:dyDescent="0.25">
      <c r="A449" s="4">
        <f t="shared" si="6"/>
        <v>448</v>
      </c>
      <c r="B449" s="4" t="s">
        <v>12</v>
      </c>
      <c r="C449" t="str">
        <f>'[2]ATAHUICHI (ELECTRÓNICA)'!$C$4</f>
        <v>BRYAN JOSE ATAHUICHI PINTO</v>
      </c>
      <c r="E449" t="s">
        <v>14</v>
      </c>
      <c r="F449" t="s">
        <v>124</v>
      </c>
      <c r="G449" s="4" t="str">
        <f>'[2]ATAHUICHI (ELECTRÓNICA)'!B54</f>
        <v>4-05886</v>
      </c>
      <c r="H449" t="s">
        <v>54</v>
      </c>
      <c r="I449" s="5" t="str">
        <f>'[2]ATAHUICHI (ELECTRÓNICA)'!F54</f>
        <v>Regular</v>
      </c>
    </row>
    <row r="450" spans="1:9" x14ac:dyDescent="0.25">
      <c r="A450" s="4">
        <f t="shared" si="6"/>
        <v>449</v>
      </c>
      <c r="B450" s="4" t="s">
        <v>12</v>
      </c>
      <c r="C450" t="str">
        <f>'[2]ATAHUICHI (ELECTRÓNICA)'!$C$4</f>
        <v>BRYAN JOSE ATAHUICHI PINTO</v>
      </c>
      <c r="E450" t="s">
        <v>14</v>
      </c>
      <c r="F450" t="s">
        <v>124</v>
      </c>
      <c r="G450" s="4" t="str">
        <f>'[2]ATAHUICHI (ELECTRÓNICA)'!B55</f>
        <v>4-05885</v>
      </c>
      <c r="H450" t="s">
        <v>55</v>
      </c>
      <c r="I450" s="5" t="str">
        <f>'[2]ATAHUICHI (ELECTRÓNICA)'!F55</f>
        <v>Regular</v>
      </c>
    </row>
    <row r="451" spans="1:9" x14ac:dyDescent="0.25">
      <c r="A451" s="4">
        <f t="shared" si="6"/>
        <v>450</v>
      </c>
      <c r="B451" s="4" t="s">
        <v>12</v>
      </c>
      <c r="C451" t="str">
        <f>'[2]ATAHUICHI (ELECTRÓNICA)'!$C$4</f>
        <v>BRYAN JOSE ATAHUICHI PINTO</v>
      </c>
      <c r="E451" t="s">
        <v>14</v>
      </c>
      <c r="F451" t="s">
        <v>124</v>
      </c>
      <c r="G451" s="4" t="str">
        <f>'[2]ATAHUICHI (ELECTRÓNICA)'!B56</f>
        <v>4-05891</v>
      </c>
      <c r="H451" t="s">
        <v>56</v>
      </c>
      <c r="I451" s="5" t="str">
        <f>'[2]ATAHUICHI (ELECTRÓNICA)'!F56</f>
        <v>Regular</v>
      </c>
    </row>
    <row r="452" spans="1:9" x14ac:dyDescent="0.25">
      <c r="A452" s="4">
        <f t="shared" ref="A452:A515" si="7">A451+1</f>
        <v>451</v>
      </c>
      <c r="B452" s="4" t="s">
        <v>12</v>
      </c>
      <c r="C452" t="str">
        <f>'[2]ATAHUICHI (ELECTRÓNICA)'!$C$4</f>
        <v>BRYAN JOSE ATAHUICHI PINTO</v>
      </c>
      <c r="E452" t="s">
        <v>14</v>
      </c>
      <c r="F452" t="s">
        <v>124</v>
      </c>
      <c r="G452" s="4" t="str">
        <f>'[2]ATAHUICHI (ELECTRÓNICA)'!B57</f>
        <v>4-05888</v>
      </c>
      <c r="H452" t="s">
        <v>57</v>
      </c>
      <c r="I452" s="5" t="str">
        <f>'[2]ATAHUICHI (ELECTRÓNICA)'!F57</f>
        <v>Regular</v>
      </c>
    </row>
    <row r="453" spans="1:9" x14ac:dyDescent="0.25">
      <c r="A453" s="4">
        <f t="shared" si="7"/>
        <v>452</v>
      </c>
      <c r="B453" s="4" t="s">
        <v>12</v>
      </c>
      <c r="C453" t="str">
        <f>'[2]ATAHUICHI (ELECTRÓNICA)'!$C$4</f>
        <v>BRYAN JOSE ATAHUICHI PINTO</v>
      </c>
      <c r="E453" t="s">
        <v>14</v>
      </c>
      <c r="F453" t="s">
        <v>124</v>
      </c>
      <c r="G453" s="4" t="str">
        <f>'[2]ATAHUICHI (ELECTRÓNICA)'!B58</f>
        <v>4-05887</v>
      </c>
      <c r="H453" t="s">
        <v>58</v>
      </c>
      <c r="I453" s="5" t="str">
        <f>'[2]ATAHUICHI (ELECTRÓNICA)'!F58</f>
        <v>Regular</v>
      </c>
    </row>
    <row r="454" spans="1:9" x14ac:dyDescent="0.25">
      <c r="A454" s="4">
        <f t="shared" si="7"/>
        <v>453</v>
      </c>
      <c r="B454" s="4" t="s">
        <v>12</v>
      </c>
      <c r="C454" t="str">
        <f>'[2]ATAHUICHI (ELECTRÓNICA)'!$C$4</f>
        <v>BRYAN JOSE ATAHUICHI PINTO</v>
      </c>
      <c r="E454" t="s">
        <v>14</v>
      </c>
      <c r="F454" t="s">
        <v>124</v>
      </c>
      <c r="G454" s="4" t="str">
        <f>'[2]ATAHUICHI (ELECTRÓNICA)'!B59</f>
        <v>4-09531</v>
      </c>
      <c r="H454" t="s">
        <v>59</v>
      </c>
      <c r="I454" s="5" t="str">
        <f>'[2]ATAHUICHI (ELECTRÓNICA)'!F59</f>
        <v>Regular</v>
      </c>
    </row>
    <row r="455" spans="1:9" x14ac:dyDescent="0.25">
      <c r="A455" s="4">
        <f t="shared" si="7"/>
        <v>454</v>
      </c>
      <c r="B455" s="4" t="s">
        <v>12</v>
      </c>
      <c r="C455" t="str">
        <f>'[2]ATAHUICHI (ELECTRÓNICA)'!$C$4</f>
        <v>BRYAN JOSE ATAHUICHI PINTO</v>
      </c>
      <c r="E455" t="s">
        <v>14</v>
      </c>
      <c r="F455" t="s">
        <v>124</v>
      </c>
      <c r="G455" s="4" t="str">
        <f>'[2]ATAHUICHI (ELECTRÓNICA)'!B60</f>
        <v>4-05957</v>
      </c>
      <c r="H455" t="s">
        <v>60</v>
      </c>
      <c r="I455" s="5" t="str">
        <f>'[2]ATAHUICHI (ELECTRÓNICA)'!F60</f>
        <v>Regular</v>
      </c>
    </row>
    <row r="456" spans="1:9" x14ac:dyDescent="0.25">
      <c r="A456" s="4">
        <f t="shared" si="7"/>
        <v>455</v>
      </c>
      <c r="B456" s="4" t="s">
        <v>12</v>
      </c>
      <c r="C456" t="str">
        <f>'[2]ATAHUICHI (ELECTRÓNICA)'!$C$4</f>
        <v>BRYAN JOSE ATAHUICHI PINTO</v>
      </c>
      <c r="E456" t="s">
        <v>14</v>
      </c>
      <c r="F456" t="s">
        <v>124</v>
      </c>
      <c r="G456" s="4" t="str">
        <f>'[2]ATAHUICHI (ELECTRÓNICA)'!B61</f>
        <v>4-05956</v>
      </c>
      <c r="H456" t="s">
        <v>61</v>
      </c>
      <c r="I456" s="5" t="str">
        <f>'[2]ATAHUICHI (ELECTRÓNICA)'!F61</f>
        <v>Regular</v>
      </c>
    </row>
    <row r="457" spans="1:9" x14ac:dyDescent="0.25">
      <c r="A457" s="4">
        <f t="shared" si="7"/>
        <v>456</v>
      </c>
      <c r="B457" s="4" t="s">
        <v>12</v>
      </c>
      <c r="C457" t="str">
        <f>'[2]ATAHUICHI (ELECTRÓNICA)'!$C$4</f>
        <v>BRYAN JOSE ATAHUICHI PINTO</v>
      </c>
      <c r="E457" t="s">
        <v>14</v>
      </c>
      <c r="F457" t="s">
        <v>124</v>
      </c>
      <c r="G457" s="4" t="str">
        <f>'[2]ATAHUICHI (ELECTRÓNICA)'!B62</f>
        <v>4-05949</v>
      </c>
      <c r="H457" t="s">
        <v>62</v>
      </c>
      <c r="I457" s="5" t="str">
        <f>'[2]ATAHUICHI (ELECTRÓNICA)'!F62</f>
        <v>Regular</v>
      </c>
    </row>
    <row r="458" spans="1:9" x14ac:dyDescent="0.25">
      <c r="A458" s="4">
        <f t="shared" si="7"/>
        <v>457</v>
      </c>
      <c r="B458" s="4" t="s">
        <v>12</v>
      </c>
      <c r="C458" t="str">
        <f>'[2]ATAHUICHI (ELECTRÓNICA)'!$C$4</f>
        <v>BRYAN JOSE ATAHUICHI PINTO</v>
      </c>
      <c r="E458" t="s">
        <v>14</v>
      </c>
      <c r="F458" t="s">
        <v>124</v>
      </c>
      <c r="G458" s="4" t="str">
        <f>'[2]ATAHUICHI (ELECTRÓNICA)'!B63</f>
        <v>4-05951</v>
      </c>
      <c r="H458" t="s">
        <v>63</v>
      </c>
      <c r="I458" s="5" t="str">
        <f>'[2]ATAHUICHI (ELECTRÓNICA)'!F63</f>
        <v>Regular</v>
      </c>
    </row>
    <row r="459" spans="1:9" x14ac:dyDescent="0.25">
      <c r="A459" s="4">
        <f t="shared" si="7"/>
        <v>458</v>
      </c>
      <c r="B459" s="4" t="s">
        <v>12</v>
      </c>
      <c r="C459" t="str">
        <f>'[2]ATAHUICHI (ELECTRÓNICA)'!$C$4</f>
        <v>BRYAN JOSE ATAHUICHI PINTO</v>
      </c>
      <c r="E459" t="s">
        <v>14</v>
      </c>
      <c r="F459" t="s">
        <v>124</v>
      </c>
      <c r="G459" s="4" t="str">
        <f>'[2]ATAHUICHI (ELECTRÓNICA)'!B64</f>
        <v>4-05952</v>
      </c>
      <c r="H459" t="s">
        <v>64</v>
      </c>
      <c r="I459" s="5" t="str">
        <f>'[2]ATAHUICHI (ELECTRÓNICA)'!F64</f>
        <v>Regular</v>
      </c>
    </row>
    <row r="460" spans="1:9" x14ac:dyDescent="0.25">
      <c r="A460" s="4">
        <f t="shared" si="7"/>
        <v>459</v>
      </c>
      <c r="B460" s="4" t="s">
        <v>12</v>
      </c>
      <c r="C460" t="str">
        <f>'[2]ATAHUICHI (ELECTRÓNICA)'!$C$4</f>
        <v>BRYAN JOSE ATAHUICHI PINTO</v>
      </c>
      <c r="E460" t="s">
        <v>14</v>
      </c>
      <c r="F460" t="s">
        <v>124</v>
      </c>
      <c r="G460" s="4" t="str">
        <f>'[2]ATAHUICHI (ELECTRÓNICA)'!B65</f>
        <v>4-05954</v>
      </c>
      <c r="H460" t="s">
        <v>65</v>
      </c>
      <c r="I460" s="5" t="str">
        <f>'[2]ATAHUICHI (ELECTRÓNICA)'!F65</f>
        <v>Regular</v>
      </c>
    </row>
    <row r="461" spans="1:9" x14ac:dyDescent="0.25">
      <c r="A461" s="4">
        <f t="shared" si="7"/>
        <v>460</v>
      </c>
      <c r="B461" s="4" t="s">
        <v>12</v>
      </c>
      <c r="C461" t="str">
        <f>'[2]ATAHUICHI (ELECTRÓNICA)'!$C$4</f>
        <v>BRYAN JOSE ATAHUICHI PINTO</v>
      </c>
      <c r="E461" t="s">
        <v>14</v>
      </c>
      <c r="F461" t="s">
        <v>124</v>
      </c>
      <c r="G461" s="4" t="str">
        <f>'[2]ATAHUICHI (ELECTRÓNICA)'!B66</f>
        <v>4-05955</v>
      </c>
      <c r="H461" t="s">
        <v>66</v>
      </c>
      <c r="I461" s="5" t="str">
        <f>'[2]ATAHUICHI (ELECTRÓNICA)'!F66</f>
        <v>Regular</v>
      </c>
    </row>
    <row r="462" spans="1:9" x14ac:dyDescent="0.25">
      <c r="A462" s="4">
        <f t="shared" si="7"/>
        <v>461</v>
      </c>
      <c r="B462" s="4" t="s">
        <v>12</v>
      </c>
      <c r="C462" t="str">
        <f>'[2]ATAHUICHI (ELECTRÓNICA)'!$C$4</f>
        <v>BRYAN JOSE ATAHUICHI PINTO</v>
      </c>
      <c r="E462" t="s">
        <v>14</v>
      </c>
      <c r="F462" t="s">
        <v>124</v>
      </c>
      <c r="G462" s="4" t="str">
        <f>'[2]ATAHUICHI (ELECTRÓNICA)'!B67</f>
        <v>4-05950</v>
      </c>
      <c r="H462" t="s">
        <v>67</v>
      </c>
      <c r="I462" s="5" t="str">
        <f>'[2]ATAHUICHI (ELECTRÓNICA)'!F67</f>
        <v>Regular</v>
      </c>
    </row>
    <row r="463" spans="1:9" x14ac:dyDescent="0.25">
      <c r="A463" s="4">
        <f t="shared" si="7"/>
        <v>462</v>
      </c>
      <c r="B463" s="4" t="s">
        <v>12</v>
      </c>
      <c r="C463" t="str">
        <f>'[2]ATAHUICHI (ELECTRÓNICA)'!$C$4</f>
        <v>BRYAN JOSE ATAHUICHI PINTO</v>
      </c>
      <c r="E463" t="s">
        <v>14</v>
      </c>
      <c r="F463" t="s">
        <v>124</v>
      </c>
      <c r="G463" s="4" t="str">
        <f>'[2]ATAHUICHI (ELECTRÓNICA)'!B68</f>
        <v>4-05940</v>
      </c>
      <c r="H463" t="s">
        <v>68</v>
      </c>
      <c r="I463" s="5" t="str">
        <f>'[2]ATAHUICHI (ELECTRÓNICA)'!F68</f>
        <v>Regular</v>
      </c>
    </row>
    <row r="464" spans="1:9" x14ac:dyDescent="0.25">
      <c r="A464" s="4">
        <f t="shared" si="7"/>
        <v>463</v>
      </c>
      <c r="B464" s="4" t="s">
        <v>12</v>
      </c>
      <c r="C464" t="str">
        <f>'[2]ATAHUICHI (ELECTRÓNICA)'!$C$4</f>
        <v>BRYAN JOSE ATAHUICHI PINTO</v>
      </c>
      <c r="E464" t="s">
        <v>14</v>
      </c>
      <c r="F464" t="s">
        <v>124</v>
      </c>
      <c r="G464" s="4" t="str">
        <f>'[2]ATAHUICHI (ELECTRÓNICA)'!B69</f>
        <v>4-05941</v>
      </c>
      <c r="H464" t="s">
        <v>69</v>
      </c>
      <c r="I464" s="5" t="str">
        <f>'[2]ATAHUICHI (ELECTRÓNICA)'!F69</f>
        <v>Regular</v>
      </c>
    </row>
    <row r="465" spans="1:9" ht="14.25" customHeight="1" x14ac:dyDescent="0.25">
      <c r="A465" s="4">
        <f t="shared" si="7"/>
        <v>464</v>
      </c>
      <c r="B465" s="4" t="s">
        <v>12</v>
      </c>
      <c r="C465" t="str">
        <f>'[2]ATAHUICHI (ELECTRÓNICA)'!$C$4</f>
        <v>BRYAN JOSE ATAHUICHI PINTO</v>
      </c>
      <c r="E465" t="s">
        <v>14</v>
      </c>
      <c r="F465" t="s">
        <v>124</v>
      </c>
      <c r="G465" s="4" t="str">
        <f>'[2]ATAHUICHI (ELECTRÓNICA)'!B70</f>
        <v>4-09872</v>
      </c>
      <c r="H465" t="s">
        <v>70</v>
      </c>
      <c r="I465" s="5" t="str">
        <f>'[2]ATAHUICHI (ELECTRÓNICA)'!F70</f>
        <v>Regular</v>
      </c>
    </row>
    <row r="466" spans="1:9" ht="14.25" customHeight="1" x14ac:dyDescent="0.25">
      <c r="A466" s="4">
        <f t="shared" si="7"/>
        <v>465</v>
      </c>
      <c r="B466" s="4" t="s">
        <v>12</v>
      </c>
      <c r="C466" t="str">
        <f>'[2]ATAHUICHI (ELECTRÓNICA)'!$C$4</f>
        <v>BRYAN JOSE ATAHUICHI PINTO</v>
      </c>
      <c r="E466" t="s">
        <v>14</v>
      </c>
      <c r="F466" t="s">
        <v>124</v>
      </c>
      <c r="G466" s="4" t="str">
        <f>'[2]ATAHUICHI (ELECTRÓNICA)'!B71</f>
        <v>4-09871</v>
      </c>
      <c r="H466" t="s">
        <v>71</v>
      </c>
      <c r="I466" s="5" t="str">
        <f>'[2]ATAHUICHI (ELECTRÓNICA)'!F71</f>
        <v>Regular</v>
      </c>
    </row>
    <row r="467" spans="1:9" ht="14.25" customHeight="1" x14ac:dyDescent="0.25">
      <c r="A467" s="4">
        <f t="shared" si="7"/>
        <v>466</v>
      </c>
      <c r="B467" s="4" t="s">
        <v>12</v>
      </c>
      <c r="C467" t="str">
        <f>'[2]ATAHUICHI (ELECTRÓNICA)'!$C$4</f>
        <v>BRYAN JOSE ATAHUICHI PINTO</v>
      </c>
      <c r="E467" t="s">
        <v>14</v>
      </c>
      <c r="F467" t="s">
        <v>124</v>
      </c>
      <c r="G467" s="4" t="str">
        <f>'[2]ATAHUICHI (ELECTRÓNICA)'!B72</f>
        <v>4-09870</v>
      </c>
      <c r="H467" t="s">
        <v>72</v>
      </c>
      <c r="I467" s="5" t="str">
        <f>'[2]ATAHUICHI (ELECTRÓNICA)'!F72</f>
        <v>Regular</v>
      </c>
    </row>
    <row r="468" spans="1:9" x14ac:dyDescent="0.25">
      <c r="A468" s="4">
        <f t="shared" si="7"/>
        <v>467</v>
      </c>
      <c r="B468" s="4" t="s">
        <v>12</v>
      </c>
      <c r="C468" t="str">
        <f>'[2]ATAHUICHI (ELECTRÓNICA)'!$C$4</f>
        <v>BRYAN JOSE ATAHUICHI PINTO</v>
      </c>
      <c r="E468" t="s">
        <v>14</v>
      </c>
      <c r="F468" t="s">
        <v>124</v>
      </c>
      <c r="G468" s="4" t="str">
        <f>'[2]ATAHUICHI (ELECTRÓNICA)'!B73</f>
        <v>4-09530</v>
      </c>
      <c r="H468" t="s">
        <v>73</v>
      </c>
      <c r="I468" s="5" t="str">
        <f>'[2]ATAHUICHI (ELECTRÓNICA)'!F73</f>
        <v>Regular</v>
      </c>
    </row>
    <row r="469" spans="1:9" x14ac:dyDescent="0.25">
      <c r="A469" s="4">
        <f t="shared" si="7"/>
        <v>468</v>
      </c>
      <c r="B469" s="4" t="s">
        <v>12</v>
      </c>
      <c r="C469" t="str">
        <f>'[2]ATAHUICHI (ELECTRÓNICA)'!$C$4</f>
        <v>BRYAN JOSE ATAHUICHI PINTO</v>
      </c>
      <c r="E469" t="s">
        <v>14</v>
      </c>
      <c r="F469" t="s">
        <v>124</v>
      </c>
      <c r="G469" s="4" t="str">
        <f>'[2]ATAHUICHI (ELECTRÓNICA)'!B74</f>
        <v>4-09529</v>
      </c>
      <c r="H469" t="s">
        <v>73</v>
      </c>
      <c r="I469" s="5" t="str">
        <f>'[2]ATAHUICHI (ELECTRÓNICA)'!F74</f>
        <v>Regular</v>
      </c>
    </row>
    <row r="470" spans="1:9" ht="14.25" customHeight="1" x14ac:dyDescent="0.25">
      <c r="A470" s="4">
        <f t="shared" si="7"/>
        <v>469</v>
      </c>
      <c r="B470" s="4" t="s">
        <v>12</v>
      </c>
      <c r="C470" t="str">
        <f>'[2]ATAHUICHI (ELECTRÓNICA)'!$C$4</f>
        <v>BRYAN JOSE ATAHUICHI PINTO</v>
      </c>
      <c r="E470" t="s">
        <v>14</v>
      </c>
      <c r="F470" t="s">
        <v>124</v>
      </c>
      <c r="G470" s="4" t="str">
        <f>'[2]ATAHUICHI (ELECTRÓNICA)'!B75</f>
        <v>4-08554</v>
      </c>
      <c r="H470" t="s">
        <v>74</v>
      </c>
      <c r="I470" s="5" t="str">
        <f>'[2]ATAHUICHI (ELECTRÓNICA)'!F75</f>
        <v>Regular</v>
      </c>
    </row>
    <row r="471" spans="1:9" x14ac:dyDescent="0.25">
      <c r="A471" s="4">
        <f t="shared" si="7"/>
        <v>470</v>
      </c>
      <c r="B471" s="4" t="s">
        <v>12</v>
      </c>
      <c r="C471" t="str">
        <f>'[2]ATAHUICHI (ELECTRÓNICA)'!$C$4</f>
        <v>BRYAN JOSE ATAHUICHI PINTO</v>
      </c>
      <c r="E471" t="s">
        <v>14</v>
      </c>
      <c r="F471" t="s">
        <v>124</v>
      </c>
      <c r="G471" s="4" t="str">
        <f>'[2]ATAHUICHI (ELECTRÓNICA)'!B76</f>
        <v>4-05880</v>
      </c>
      <c r="H471" t="s">
        <v>50</v>
      </c>
      <c r="I471" s="5" t="str">
        <f>'[2]ATAHUICHI (ELECTRÓNICA)'!F76</f>
        <v>Regular</v>
      </c>
    </row>
    <row r="472" spans="1:9" x14ac:dyDescent="0.25">
      <c r="A472" s="4">
        <f t="shared" si="7"/>
        <v>471</v>
      </c>
      <c r="B472" s="4" t="s">
        <v>12</v>
      </c>
      <c r="C472" t="str">
        <f>'[2]ATAHUICHI (ELECTRÓNICA)'!$C$4</f>
        <v>BRYAN JOSE ATAHUICHI PINTO</v>
      </c>
      <c r="E472" t="s">
        <v>14</v>
      </c>
      <c r="F472" t="s">
        <v>124</v>
      </c>
      <c r="G472" s="4" t="str">
        <f>'[2]ATAHUICHI (ELECTRÓNICA)'!B77</f>
        <v>4-05948</v>
      </c>
      <c r="H472" t="s">
        <v>75</v>
      </c>
      <c r="I472" s="5" t="str">
        <f>'[2]ATAHUICHI (ELECTRÓNICA)'!F77</f>
        <v>Regular</v>
      </c>
    </row>
    <row r="473" spans="1:9" x14ac:dyDescent="0.25">
      <c r="A473" s="4">
        <f t="shared" si="7"/>
        <v>472</v>
      </c>
      <c r="B473" s="4" t="s">
        <v>12</v>
      </c>
      <c r="C473" t="str">
        <f>'[2]ATAHUICHI (ELECTRÓNICA)'!$C$4</f>
        <v>BRYAN JOSE ATAHUICHI PINTO</v>
      </c>
      <c r="E473" t="s">
        <v>14</v>
      </c>
      <c r="F473" t="s">
        <v>124</v>
      </c>
      <c r="G473" s="4" t="str">
        <f>'[2]ATAHUICHI (ELECTRÓNICA)'!B78</f>
        <v>4-05953</v>
      </c>
      <c r="H473" t="s">
        <v>76</v>
      </c>
      <c r="I473" s="5" t="str">
        <f>'[2]ATAHUICHI (ELECTRÓNICA)'!F78</f>
        <v>Regular</v>
      </c>
    </row>
    <row r="474" spans="1:9" x14ac:dyDescent="0.25">
      <c r="A474" s="4">
        <f t="shared" si="7"/>
        <v>473</v>
      </c>
      <c r="B474" s="4" t="s">
        <v>12</v>
      </c>
      <c r="C474" t="str">
        <f>'[2]ATAHUICHI (ELECTRÓNICA)'!$C$4</f>
        <v>BRYAN JOSE ATAHUICHI PINTO</v>
      </c>
      <c r="E474" t="s">
        <v>77</v>
      </c>
      <c r="F474" t="s">
        <v>125</v>
      </c>
      <c r="G474" s="4" t="str">
        <f>'[2]ATAHUICHI (AUTOMATIZACIÓN)'!B9</f>
        <v>4-05250</v>
      </c>
      <c r="H474" t="s">
        <v>78</v>
      </c>
      <c r="I474" s="4" t="str">
        <f>'[2]ATAHUICHI (AUTOMATIZACIÓN)'!F9</f>
        <v>Regular</v>
      </c>
    </row>
    <row r="475" spans="1:9" x14ac:dyDescent="0.25">
      <c r="A475" s="4">
        <f t="shared" si="7"/>
        <v>474</v>
      </c>
      <c r="B475" s="4" t="s">
        <v>12</v>
      </c>
      <c r="C475" t="str">
        <f>'[2]ATAHUICHI (ELECTRÓNICA)'!$C$4</f>
        <v>BRYAN JOSE ATAHUICHI PINTO</v>
      </c>
      <c r="E475" t="s">
        <v>77</v>
      </c>
      <c r="F475" t="s">
        <v>125</v>
      </c>
      <c r="G475" s="4" t="str">
        <f>'[2]ATAHUICHI (AUTOMATIZACIÓN)'!B10</f>
        <v>4-05245</v>
      </c>
      <c r="H475" t="s">
        <v>79</v>
      </c>
      <c r="I475" s="4" t="str">
        <f>'[2]ATAHUICHI (AUTOMATIZACIÓN)'!F10</f>
        <v>Regular</v>
      </c>
    </row>
    <row r="476" spans="1:9" x14ac:dyDescent="0.25">
      <c r="A476" s="4">
        <f t="shared" si="7"/>
        <v>475</v>
      </c>
      <c r="B476" s="4" t="s">
        <v>12</v>
      </c>
      <c r="C476" t="str">
        <f>'[2]ATAHUICHI (ELECTRÓNICA)'!$C$4</f>
        <v>BRYAN JOSE ATAHUICHI PINTO</v>
      </c>
      <c r="E476" t="s">
        <v>77</v>
      </c>
      <c r="F476" t="s">
        <v>125</v>
      </c>
      <c r="G476" s="4" t="str">
        <f>'[2]ATAHUICHI (AUTOMATIZACIÓN)'!B11</f>
        <v>4-05249</v>
      </c>
      <c r="H476" t="s">
        <v>80</v>
      </c>
      <c r="I476" s="4" t="str">
        <f>'[2]ATAHUICHI (AUTOMATIZACIÓN)'!F11</f>
        <v>Regular</v>
      </c>
    </row>
    <row r="477" spans="1:9" x14ac:dyDescent="0.25">
      <c r="A477" s="4">
        <f t="shared" si="7"/>
        <v>476</v>
      </c>
      <c r="B477" s="4" t="s">
        <v>12</v>
      </c>
      <c r="C477" t="str">
        <f>'[2]ATAHUICHI (ELECTRÓNICA)'!$C$4</f>
        <v>BRYAN JOSE ATAHUICHI PINTO</v>
      </c>
      <c r="E477" t="s">
        <v>77</v>
      </c>
      <c r="F477" t="s">
        <v>125</v>
      </c>
      <c r="G477" s="4" t="str">
        <f>'[2]ATAHUICHI (AUTOMATIZACIÓN)'!B12</f>
        <v>4-05251</v>
      </c>
      <c r="H477" t="s">
        <v>81</v>
      </c>
      <c r="I477" s="4" t="str">
        <f>'[2]ATAHUICHI (AUTOMATIZACIÓN)'!F12</f>
        <v>Regular</v>
      </c>
    </row>
    <row r="478" spans="1:9" x14ac:dyDescent="0.25">
      <c r="A478" s="4">
        <f t="shared" si="7"/>
        <v>477</v>
      </c>
      <c r="B478" s="4" t="s">
        <v>12</v>
      </c>
      <c r="C478" t="str">
        <f>'[2]ATAHUICHI (ELECTRÓNICA)'!$C$4</f>
        <v>BRYAN JOSE ATAHUICHI PINTO</v>
      </c>
      <c r="E478" t="s">
        <v>77</v>
      </c>
      <c r="F478" t="s">
        <v>125</v>
      </c>
      <c r="G478" s="4" t="str">
        <f>'[2]ATAHUICHI (AUTOMATIZACIÓN)'!B13</f>
        <v>4-05877</v>
      </c>
      <c r="H478" t="s">
        <v>82</v>
      </c>
      <c r="I478" s="4" t="str">
        <f>'[2]ATAHUICHI (AUTOMATIZACIÓN)'!F13</f>
        <v>Regular</v>
      </c>
    </row>
    <row r="479" spans="1:9" x14ac:dyDescent="0.25">
      <c r="A479" s="4">
        <f t="shared" si="7"/>
        <v>478</v>
      </c>
      <c r="B479" s="4" t="s">
        <v>12</v>
      </c>
      <c r="C479" t="str">
        <f>'[2]ATAHUICHI (ELECTRÓNICA)'!$C$4</f>
        <v>BRYAN JOSE ATAHUICHI PINTO</v>
      </c>
      <c r="E479" t="s">
        <v>77</v>
      </c>
      <c r="F479" t="s">
        <v>125</v>
      </c>
      <c r="G479" s="4" t="str">
        <f>'[2]ATAHUICHI (AUTOMATIZACIÓN)'!B14</f>
        <v>4-05876</v>
      </c>
      <c r="H479" t="s">
        <v>82</v>
      </c>
      <c r="I479" s="4" t="str">
        <f>'[2]ATAHUICHI (AUTOMATIZACIÓN)'!F14</f>
        <v>Regular</v>
      </c>
    </row>
    <row r="480" spans="1:9" x14ac:dyDescent="0.25">
      <c r="A480" s="4">
        <f t="shared" si="7"/>
        <v>479</v>
      </c>
      <c r="B480" s="4" t="s">
        <v>12</v>
      </c>
      <c r="C480" t="str">
        <f>'[2]ATAHUICHI (ELECTRÓNICA)'!$C$4</f>
        <v>BRYAN JOSE ATAHUICHI PINTO</v>
      </c>
      <c r="E480" t="s">
        <v>77</v>
      </c>
      <c r="F480" t="s">
        <v>125</v>
      </c>
      <c r="G480" s="4" t="str">
        <f>'[2]ATAHUICHI (AUTOMATIZACIÓN)'!B15</f>
        <v>4-05875</v>
      </c>
      <c r="H480" t="s">
        <v>82</v>
      </c>
      <c r="I480" s="4" t="str">
        <f>'[2]ATAHUICHI (AUTOMATIZACIÓN)'!F15</f>
        <v>Regular</v>
      </c>
    </row>
    <row r="481" spans="1:9" x14ac:dyDescent="0.25">
      <c r="A481" s="4">
        <f t="shared" si="7"/>
        <v>480</v>
      </c>
      <c r="B481" s="4" t="s">
        <v>12</v>
      </c>
      <c r="C481" t="str">
        <f>'[2]ATAHUICHI (ELECTRÓNICA)'!$C$4</f>
        <v>BRYAN JOSE ATAHUICHI PINTO</v>
      </c>
      <c r="E481" t="s">
        <v>77</v>
      </c>
      <c r="F481" t="s">
        <v>125</v>
      </c>
      <c r="G481" s="4" t="str">
        <f>'[2]ATAHUICHI (AUTOMATIZACIÓN)'!B16</f>
        <v>4-05874</v>
      </c>
      <c r="H481" t="s">
        <v>82</v>
      </c>
      <c r="I481" s="4" t="str">
        <f>'[2]ATAHUICHI (AUTOMATIZACIÓN)'!F16</f>
        <v>Regular</v>
      </c>
    </row>
    <row r="482" spans="1:9" x14ac:dyDescent="0.25">
      <c r="A482" s="4">
        <f t="shared" si="7"/>
        <v>481</v>
      </c>
      <c r="B482" s="4" t="s">
        <v>12</v>
      </c>
      <c r="C482" t="str">
        <f>'[2]ATAHUICHI (ELECTRÓNICA)'!$C$4</f>
        <v>BRYAN JOSE ATAHUICHI PINTO</v>
      </c>
      <c r="E482" t="s">
        <v>77</v>
      </c>
      <c r="F482" t="s">
        <v>125</v>
      </c>
      <c r="G482" s="4" t="str">
        <f>'[2]ATAHUICHI (AUTOMATIZACIÓN)'!B17</f>
        <v>4-05873</v>
      </c>
      <c r="H482" t="s">
        <v>82</v>
      </c>
      <c r="I482" s="4" t="str">
        <f>'[2]ATAHUICHI (AUTOMATIZACIÓN)'!F17</f>
        <v>Regular</v>
      </c>
    </row>
    <row r="483" spans="1:9" x14ac:dyDescent="0.25">
      <c r="A483" s="4">
        <f t="shared" si="7"/>
        <v>482</v>
      </c>
      <c r="B483" s="4" t="s">
        <v>12</v>
      </c>
      <c r="C483" t="str">
        <f>'[2]ATAHUICHI (ELECTRÓNICA)'!$C$4</f>
        <v>BRYAN JOSE ATAHUICHI PINTO</v>
      </c>
      <c r="E483" t="s">
        <v>77</v>
      </c>
      <c r="F483" t="s">
        <v>125</v>
      </c>
      <c r="G483" s="4" t="str">
        <f>'[2]ATAHUICHI (AUTOMATIZACIÓN)'!B18</f>
        <v>4-05978</v>
      </c>
      <c r="H483" t="s">
        <v>83</v>
      </c>
      <c r="I483" s="4" t="str">
        <f>'[2]ATAHUICHI (AUTOMATIZACIÓN)'!F18</f>
        <v>Regular</v>
      </c>
    </row>
    <row r="484" spans="1:9" x14ac:dyDescent="0.25">
      <c r="A484" s="4">
        <f t="shared" si="7"/>
        <v>483</v>
      </c>
      <c r="B484" s="4" t="s">
        <v>12</v>
      </c>
      <c r="C484" t="str">
        <f>'[2]ATAHUICHI (ELECTRÓNICA)'!$C$4</f>
        <v>BRYAN JOSE ATAHUICHI PINTO</v>
      </c>
      <c r="E484" t="s">
        <v>77</v>
      </c>
      <c r="F484" t="s">
        <v>125</v>
      </c>
      <c r="G484" s="4" t="str">
        <f>'[2]ATAHUICHI (AUTOMATIZACIÓN)'!B19</f>
        <v>4-05977</v>
      </c>
      <c r="H484" t="s">
        <v>83</v>
      </c>
      <c r="I484" s="4" t="str">
        <f>'[2]ATAHUICHI (AUTOMATIZACIÓN)'!F19</f>
        <v>Regular</v>
      </c>
    </row>
    <row r="485" spans="1:9" x14ac:dyDescent="0.25">
      <c r="A485" s="4">
        <f t="shared" si="7"/>
        <v>484</v>
      </c>
      <c r="B485" s="4" t="s">
        <v>12</v>
      </c>
      <c r="C485" t="str">
        <f>'[2]ATAHUICHI (ELECTRÓNICA)'!$C$4</f>
        <v>BRYAN JOSE ATAHUICHI PINTO</v>
      </c>
      <c r="E485" t="s">
        <v>77</v>
      </c>
      <c r="F485" t="s">
        <v>125</v>
      </c>
      <c r="G485" s="4" t="str">
        <f>'[2]ATAHUICHI (AUTOMATIZACIÓN)'!B20</f>
        <v>4-05976</v>
      </c>
      <c r="H485" t="s">
        <v>83</v>
      </c>
      <c r="I485" s="4" t="str">
        <f>'[2]ATAHUICHI (AUTOMATIZACIÓN)'!F20</f>
        <v>Regular</v>
      </c>
    </row>
    <row r="486" spans="1:9" x14ac:dyDescent="0.25">
      <c r="A486" s="4">
        <f t="shared" si="7"/>
        <v>485</v>
      </c>
      <c r="B486" s="4" t="s">
        <v>12</v>
      </c>
      <c r="C486" t="str">
        <f>'[2]ATAHUICHI (ELECTRÓNICA)'!$C$4</f>
        <v>BRYAN JOSE ATAHUICHI PINTO</v>
      </c>
      <c r="E486" t="s">
        <v>77</v>
      </c>
      <c r="F486" t="s">
        <v>125</v>
      </c>
      <c r="G486" s="4" t="str">
        <f>'[2]ATAHUICHI (AUTOMATIZACIÓN)'!B21</f>
        <v>4-05975</v>
      </c>
      <c r="H486" t="s">
        <v>83</v>
      </c>
      <c r="I486" s="4" t="str">
        <f>'[2]ATAHUICHI (AUTOMATIZACIÓN)'!F21</f>
        <v>Regular</v>
      </c>
    </row>
    <row r="487" spans="1:9" x14ac:dyDescent="0.25">
      <c r="A487" s="4">
        <f t="shared" si="7"/>
        <v>486</v>
      </c>
      <c r="B487" s="4" t="s">
        <v>12</v>
      </c>
      <c r="C487" t="str">
        <f>'[2]ATAHUICHI (ELECTRÓNICA)'!$C$4</f>
        <v>BRYAN JOSE ATAHUICHI PINTO</v>
      </c>
      <c r="E487" t="s">
        <v>77</v>
      </c>
      <c r="F487" t="s">
        <v>125</v>
      </c>
      <c r="G487" s="4" t="str">
        <f>'[2]ATAHUICHI (AUTOMATIZACIÓN)'!B22</f>
        <v>4-05979</v>
      </c>
      <c r="H487" t="s">
        <v>84</v>
      </c>
      <c r="I487" s="4" t="str">
        <f>'[2]ATAHUICHI (AUTOMATIZACIÓN)'!F22</f>
        <v>Regular</v>
      </c>
    </row>
    <row r="488" spans="1:9" x14ac:dyDescent="0.25">
      <c r="A488" s="4">
        <f t="shared" si="7"/>
        <v>487</v>
      </c>
      <c r="B488" s="4" t="s">
        <v>12</v>
      </c>
      <c r="C488" t="str">
        <f>'[2]ATAHUICHI (ELECTRÓNICA)'!$C$4</f>
        <v>BRYAN JOSE ATAHUICHI PINTO</v>
      </c>
      <c r="E488" t="s">
        <v>77</v>
      </c>
      <c r="F488" t="s">
        <v>125</v>
      </c>
      <c r="G488" s="4" t="str">
        <f>'[2]ATAHUICHI (AUTOMATIZACIÓN)'!B23</f>
        <v>4-05974</v>
      </c>
      <c r="H488" t="s">
        <v>84</v>
      </c>
      <c r="I488" s="4" t="str">
        <f>'[2]ATAHUICHI (AUTOMATIZACIÓN)'!F23</f>
        <v>Regular</v>
      </c>
    </row>
    <row r="489" spans="1:9" x14ac:dyDescent="0.25">
      <c r="A489" s="4">
        <f t="shared" si="7"/>
        <v>488</v>
      </c>
      <c r="B489" s="4" t="s">
        <v>12</v>
      </c>
      <c r="C489" t="str">
        <f>'[2]ATAHUICHI (ELECTRÓNICA)'!$C$4</f>
        <v>BRYAN JOSE ATAHUICHI PINTO</v>
      </c>
      <c r="E489" t="s">
        <v>77</v>
      </c>
      <c r="F489" t="s">
        <v>125</v>
      </c>
      <c r="G489" s="4" t="str">
        <f>'[2]ATAHUICHI (AUTOMATIZACIÓN)'!B24</f>
        <v>4-05973</v>
      </c>
      <c r="H489" t="s">
        <v>84</v>
      </c>
      <c r="I489" s="4" t="str">
        <f>'[2]ATAHUICHI (AUTOMATIZACIÓN)'!F24</f>
        <v>Regular</v>
      </c>
    </row>
    <row r="490" spans="1:9" x14ac:dyDescent="0.25">
      <c r="A490" s="4">
        <f t="shared" si="7"/>
        <v>489</v>
      </c>
      <c r="B490" s="4" t="s">
        <v>12</v>
      </c>
      <c r="C490" t="str">
        <f>'[2]ATAHUICHI (ELECTRÓNICA)'!$C$4</f>
        <v>BRYAN JOSE ATAHUICHI PINTO</v>
      </c>
      <c r="E490" t="s">
        <v>77</v>
      </c>
      <c r="F490" t="s">
        <v>125</v>
      </c>
      <c r="G490" s="4" t="str">
        <f>'[2]ATAHUICHI (AUTOMATIZACIÓN)'!B25</f>
        <v>4-05972</v>
      </c>
      <c r="H490" t="s">
        <v>84</v>
      </c>
      <c r="I490" s="4" t="str">
        <f>'[2]ATAHUICHI (AUTOMATIZACIÓN)'!F25</f>
        <v>Regular</v>
      </c>
    </row>
    <row r="491" spans="1:9" x14ac:dyDescent="0.25">
      <c r="A491" s="4">
        <f t="shared" si="7"/>
        <v>490</v>
      </c>
      <c r="B491" s="4" t="s">
        <v>12</v>
      </c>
      <c r="C491" t="str">
        <f>'[2]ATAHUICHI (ELECTRÓNICA)'!$C$4</f>
        <v>BRYAN JOSE ATAHUICHI PINTO</v>
      </c>
      <c r="E491" t="s">
        <v>77</v>
      </c>
      <c r="F491" t="s">
        <v>125</v>
      </c>
      <c r="G491" s="4" t="str">
        <f>'[2]ATAHUICHI (AUTOMATIZACIÓN)'!B26</f>
        <v>4-05971</v>
      </c>
      <c r="H491" t="s">
        <v>84</v>
      </c>
      <c r="I491" s="4" t="str">
        <f>'[2]ATAHUICHI (AUTOMATIZACIÓN)'!F26</f>
        <v>Regular</v>
      </c>
    </row>
    <row r="492" spans="1:9" x14ac:dyDescent="0.25">
      <c r="A492" s="4">
        <f t="shared" si="7"/>
        <v>491</v>
      </c>
      <c r="B492" s="4" t="s">
        <v>12</v>
      </c>
      <c r="C492" t="str">
        <f>'[2]ATAHUICHI (ELECTRÓNICA)'!$C$4</f>
        <v>BRYAN JOSE ATAHUICHI PINTO</v>
      </c>
      <c r="E492" t="s">
        <v>77</v>
      </c>
      <c r="F492" t="s">
        <v>125</v>
      </c>
      <c r="G492" s="4" t="str">
        <f>'[2]ATAHUICHI (AUTOMATIZACIÓN)'!B27</f>
        <v>4-05969</v>
      </c>
      <c r="H492" t="s">
        <v>83</v>
      </c>
      <c r="I492" s="4" t="str">
        <f>'[2]ATAHUICHI (AUTOMATIZACIÓN)'!F27</f>
        <v>Regular</v>
      </c>
    </row>
    <row r="493" spans="1:9" x14ac:dyDescent="0.25">
      <c r="A493" s="4">
        <f t="shared" si="7"/>
        <v>492</v>
      </c>
      <c r="B493" s="4" t="s">
        <v>12</v>
      </c>
      <c r="C493" t="str">
        <f>'[2]ATAHUICHI (ELECTRÓNICA)'!$C$4</f>
        <v>BRYAN JOSE ATAHUICHI PINTO</v>
      </c>
      <c r="E493" t="s">
        <v>77</v>
      </c>
      <c r="F493" t="s">
        <v>125</v>
      </c>
      <c r="G493" s="4" t="str">
        <f>'[2]ATAHUICHI (AUTOMATIZACIÓN)'!B28</f>
        <v>4-05970</v>
      </c>
      <c r="H493" t="s">
        <v>84</v>
      </c>
      <c r="I493" s="4" t="str">
        <f>'[2]ATAHUICHI (AUTOMATIZACIÓN)'!F28</f>
        <v>Regular</v>
      </c>
    </row>
    <row r="494" spans="1:9" x14ac:dyDescent="0.25">
      <c r="A494" s="4">
        <f t="shared" si="7"/>
        <v>493</v>
      </c>
      <c r="B494" s="4" t="s">
        <v>12</v>
      </c>
      <c r="C494" t="str">
        <f>'[2]ATAHUICHI (ELECTRÓNICA)'!$C$4</f>
        <v>BRYAN JOSE ATAHUICHI PINTO</v>
      </c>
      <c r="E494" t="s">
        <v>77</v>
      </c>
      <c r="F494" t="s">
        <v>125</v>
      </c>
      <c r="G494" s="4" t="str">
        <f>'[2]ATAHUICHI (AUTOMATIZACIÓN)'!B29</f>
        <v>4-05872</v>
      </c>
      <c r="H494" t="s">
        <v>82</v>
      </c>
      <c r="I494" s="4" t="str">
        <f>'[2]ATAHUICHI (AUTOMATIZACIÓN)'!F29</f>
        <v>Regular</v>
      </c>
    </row>
    <row r="495" spans="1:9" ht="14.25" customHeight="1" x14ac:dyDescent="0.25">
      <c r="A495" s="4">
        <f t="shared" si="7"/>
        <v>494</v>
      </c>
      <c r="B495" s="4" t="s">
        <v>12</v>
      </c>
      <c r="C495" t="str">
        <f>'[2]ATAHUICHI (ELECTRÓNICA)'!$C$4</f>
        <v>BRYAN JOSE ATAHUICHI PINTO</v>
      </c>
      <c r="E495" t="s">
        <v>77</v>
      </c>
      <c r="F495" t="s">
        <v>125</v>
      </c>
      <c r="G495" s="4" t="str">
        <f>'[2]ATAHUICHI (AUTOMATIZACIÓN)'!B30</f>
        <v>4-09634</v>
      </c>
      <c r="H495" t="s">
        <v>85</v>
      </c>
      <c r="I495" s="4" t="str">
        <f>'[2]ATAHUICHI (AUTOMATIZACIÓN)'!F30</f>
        <v>Regular</v>
      </c>
    </row>
    <row r="496" spans="1:9" x14ac:dyDescent="0.25">
      <c r="A496" s="4">
        <f t="shared" si="7"/>
        <v>495</v>
      </c>
      <c r="B496" s="4" t="s">
        <v>12</v>
      </c>
      <c r="C496" t="str">
        <f>'[2]ATAHUICHI (ELECTRÓNICA)'!$C$4</f>
        <v>BRYAN JOSE ATAHUICHI PINTO</v>
      </c>
      <c r="E496" t="s">
        <v>77</v>
      </c>
      <c r="F496" t="s">
        <v>125</v>
      </c>
      <c r="G496" s="4" t="str">
        <f>'[2]ATAHUICHI (AUTOMATIZACIÓN)'!B31</f>
        <v>4-05980</v>
      </c>
      <c r="H496" t="s">
        <v>86</v>
      </c>
      <c r="I496" s="4" t="str">
        <f>'[2]ATAHUICHI (AUTOMATIZACIÓN)'!F31</f>
        <v>Regular</v>
      </c>
    </row>
    <row r="497" spans="1:9" x14ac:dyDescent="0.25">
      <c r="A497" s="4">
        <f t="shared" si="7"/>
        <v>496</v>
      </c>
      <c r="B497" s="4" t="s">
        <v>12</v>
      </c>
      <c r="C497" t="str">
        <f>'[2]ATAHUICHI (ELECTRÓNICA)'!$C$4</f>
        <v>BRYAN JOSE ATAHUICHI PINTO</v>
      </c>
      <c r="E497" t="s">
        <v>77</v>
      </c>
      <c r="F497" t="s">
        <v>125</v>
      </c>
      <c r="G497" s="4" t="str">
        <f>'[2]ATAHUICHI (AUTOMATIZACIÓN)'!B32</f>
        <v>4-05914</v>
      </c>
      <c r="H497" t="s">
        <v>87</v>
      </c>
      <c r="I497" s="4" t="str">
        <f>'[2]ATAHUICHI (AUTOMATIZACIÓN)'!F32</f>
        <v>Regular</v>
      </c>
    </row>
    <row r="498" spans="1:9" ht="14.25" customHeight="1" x14ac:dyDescent="0.25">
      <c r="A498" s="4">
        <f t="shared" si="7"/>
        <v>497</v>
      </c>
      <c r="B498" s="4" t="s">
        <v>12</v>
      </c>
      <c r="C498" t="str">
        <f>'[2]ATAHUICHI (ELECTRÓNICA)'!$C$4</f>
        <v>BRYAN JOSE ATAHUICHI PINTO</v>
      </c>
      <c r="E498" t="s">
        <v>77</v>
      </c>
      <c r="F498" t="s">
        <v>125</v>
      </c>
      <c r="G498" s="4" t="e">
        <f>'[2]ATAHUICHI (AUTOMATIZACIÓN)'!#REF!</f>
        <v>#REF!</v>
      </c>
      <c r="H498" t="s">
        <v>88</v>
      </c>
      <c r="I498" s="4" t="e">
        <f>'[2]ATAHUICHI (AUTOMATIZACIÓN)'!#REF!</f>
        <v>#REF!</v>
      </c>
    </row>
    <row r="499" spans="1:9" ht="14.25" customHeight="1" x14ac:dyDescent="0.25">
      <c r="A499" s="4">
        <f t="shared" si="7"/>
        <v>498</v>
      </c>
      <c r="B499" s="4" t="s">
        <v>12</v>
      </c>
      <c r="C499" t="str">
        <f>'[2]ATAHUICHI (ELECTRÓNICA)'!$C$4</f>
        <v>BRYAN JOSE ATAHUICHI PINTO</v>
      </c>
      <c r="E499" t="s">
        <v>77</v>
      </c>
      <c r="F499" t="s">
        <v>125</v>
      </c>
      <c r="G499" s="4" t="str">
        <f>'[2]ATAHUICHI (AUTOMATIZACIÓN)'!B33</f>
        <v>4-08566</v>
      </c>
      <c r="H499" t="s">
        <v>89</v>
      </c>
      <c r="I499" s="4" t="str">
        <f>'[2]ATAHUICHI (AUTOMATIZACIÓN)'!F33</f>
        <v>Regular</v>
      </c>
    </row>
    <row r="500" spans="1:9" x14ac:dyDescent="0.25">
      <c r="A500" s="4">
        <f t="shared" si="7"/>
        <v>499</v>
      </c>
      <c r="B500" s="4" t="s">
        <v>12</v>
      </c>
      <c r="C500" t="str">
        <f>'[2]ATAHUICHI (ELECTRÓNICA)'!$C$4</f>
        <v>BRYAN JOSE ATAHUICHI PINTO</v>
      </c>
      <c r="E500" t="s">
        <v>90</v>
      </c>
      <c r="F500" t="s">
        <v>126</v>
      </c>
      <c r="G500" s="4" t="str">
        <f>'[2]ATAHUICHI (NEUMÁTICA)'!B9</f>
        <v>4-05982</v>
      </c>
      <c r="H500" t="s">
        <v>91</v>
      </c>
      <c r="I500" s="4" t="str">
        <f>'[2]ATAHUICHI (NEUMÁTICA)'!$F$9</f>
        <v>Regular</v>
      </c>
    </row>
    <row r="501" spans="1:9" x14ac:dyDescent="0.25">
      <c r="A501" s="4">
        <f t="shared" si="7"/>
        <v>500</v>
      </c>
      <c r="B501" s="4" t="s">
        <v>12</v>
      </c>
      <c r="C501" t="str">
        <f>'[2]ATAHUICHI (ELECTRÓNICA)'!$C$4</f>
        <v>BRYAN JOSE ATAHUICHI PINTO</v>
      </c>
      <c r="E501" t="s">
        <v>90</v>
      </c>
      <c r="F501" t="s">
        <v>126</v>
      </c>
      <c r="G501" s="4" t="str">
        <f>'[2]ATAHUICHI (NEUMÁTICA)'!B10</f>
        <v>4-05981</v>
      </c>
      <c r="H501" t="s">
        <v>91</v>
      </c>
      <c r="I501" s="4" t="str">
        <f>'[2]ATAHUICHI (NEUMÁTICA)'!$F$9</f>
        <v>Regular</v>
      </c>
    </row>
    <row r="502" spans="1:9" x14ac:dyDescent="0.25">
      <c r="A502" s="4">
        <f t="shared" si="7"/>
        <v>501</v>
      </c>
      <c r="B502" s="4" t="s">
        <v>12</v>
      </c>
      <c r="C502" t="str">
        <f>'[2]ATAHUICHI (ELECTRÓNICA)'!$C$4</f>
        <v>BRYAN JOSE ATAHUICHI PINTO</v>
      </c>
      <c r="E502" t="s">
        <v>90</v>
      </c>
      <c r="F502" t="s">
        <v>126</v>
      </c>
      <c r="G502" s="4" t="str">
        <f>'[2]ATAHUICHI (NEUMÁTICA)'!B11</f>
        <v>4-09826</v>
      </c>
      <c r="H502" t="s">
        <v>92</v>
      </c>
      <c r="I502" s="4" t="str">
        <f>'[2]ATAHUICHI (NEUMÁTICA)'!$F$9</f>
        <v>Regular</v>
      </c>
    </row>
    <row r="503" spans="1:9" x14ac:dyDescent="0.25">
      <c r="A503" s="4">
        <f t="shared" si="7"/>
        <v>502</v>
      </c>
      <c r="B503" s="4" t="s">
        <v>12</v>
      </c>
      <c r="C503" t="str">
        <f>'[2]ATAHUICHI (ELECTRÓNICA)'!$C$4</f>
        <v>BRYAN JOSE ATAHUICHI PINTO</v>
      </c>
      <c r="E503" t="s">
        <v>90</v>
      </c>
      <c r="F503" t="s">
        <v>126</v>
      </c>
      <c r="G503" s="4" t="str">
        <f>'[2]ATAHUICHI (NEUMÁTICA)'!B12</f>
        <v>4-09180</v>
      </c>
      <c r="H503" t="s">
        <v>93</v>
      </c>
      <c r="I503" s="4" t="str">
        <f>'[2]ATAHUICHI (NEUMÁTICA)'!$F$9</f>
        <v>Regular</v>
      </c>
    </row>
    <row r="504" spans="1:9" ht="14.25" customHeight="1" x14ac:dyDescent="0.25">
      <c r="A504" s="4">
        <f t="shared" si="7"/>
        <v>503</v>
      </c>
      <c r="B504" s="4" t="s">
        <v>12</v>
      </c>
      <c r="C504" t="str">
        <f>'[2]ATAHUICHI (ELECTRÓNICA)'!$C$4</f>
        <v>BRYAN JOSE ATAHUICHI PINTO</v>
      </c>
      <c r="E504" t="s">
        <v>90</v>
      </c>
      <c r="F504" t="s">
        <v>126</v>
      </c>
      <c r="G504" s="4" t="str">
        <f>'[2]ATAHUICHI (NEUMÁTICA)'!B13</f>
        <v>4-08570</v>
      </c>
      <c r="H504" t="s">
        <v>94</v>
      </c>
      <c r="I504" s="4" t="str">
        <f>'[2]ATAHUICHI (NEUMÁTICA)'!$F$9</f>
        <v>Regular</v>
      </c>
    </row>
    <row r="505" spans="1:9" x14ac:dyDescent="0.25">
      <c r="A505" s="4">
        <f t="shared" si="7"/>
        <v>504</v>
      </c>
      <c r="B505" s="4" t="s">
        <v>12</v>
      </c>
      <c r="C505" t="str">
        <f>'[2]ATAHUICHI (ELECTRÓNICA)'!$C$4</f>
        <v>BRYAN JOSE ATAHUICHI PINTO</v>
      </c>
      <c r="E505" t="s">
        <v>95</v>
      </c>
      <c r="F505" t="s">
        <v>127</v>
      </c>
      <c r="G505" s="4" t="str">
        <f>'[2]ATAHUICHI (SISTEMAS SIMULACIÓN)'!B9</f>
        <v>2-08138</v>
      </c>
      <c r="H505" t="s">
        <v>96</v>
      </c>
      <c r="I505" s="4" t="str">
        <f>'[2]ATAHUICHI (SISTEMAS SIMULACIÓN)'!F9</f>
        <v>Regular</v>
      </c>
    </row>
    <row r="506" spans="1:9" x14ac:dyDescent="0.25">
      <c r="A506" s="4">
        <f t="shared" si="7"/>
        <v>505</v>
      </c>
      <c r="B506" s="4" t="s">
        <v>12</v>
      </c>
      <c r="C506" t="str">
        <f>'[2]ATAHUICHI (ELECTRÓNICA)'!$C$4</f>
        <v>BRYAN JOSE ATAHUICHI PINTO</v>
      </c>
      <c r="E506" t="s">
        <v>95</v>
      </c>
      <c r="F506" t="s">
        <v>127</v>
      </c>
      <c r="G506" s="4" t="str">
        <f>'[2]ATAHUICHI (SISTEMAS SIMULACIÓN)'!B10</f>
        <v>2-08143</v>
      </c>
      <c r="H506" t="s">
        <v>97</v>
      </c>
      <c r="I506" s="4" t="str">
        <f>'[2]ATAHUICHI (SISTEMAS SIMULACIÓN)'!F10</f>
        <v>Regular</v>
      </c>
    </row>
    <row r="507" spans="1:9" x14ac:dyDescent="0.25">
      <c r="A507" s="4">
        <f t="shared" si="7"/>
        <v>506</v>
      </c>
      <c r="B507" s="4" t="s">
        <v>12</v>
      </c>
      <c r="C507" t="str">
        <f>'[2]ATAHUICHI (ELECTRÓNICA)'!$C$4</f>
        <v>BRYAN JOSE ATAHUICHI PINTO</v>
      </c>
      <c r="E507" t="s">
        <v>95</v>
      </c>
      <c r="F507" t="s">
        <v>127</v>
      </c>
      <c r="G507" s="4" t="str">
        <f>'[2]ATAHUICHI (SISTEMAS SIMULACIÓN)'!B11</f>
        <v>2-08141</v>
      </c>
      <c r="H507" t="s">
        <v>98</v>
      </c>
      <c r="I507" s="4" t="str">
        <f>'[2]ATAHUICHI (SISTEMAS SIMULACIÓN)'!F11</f>
        <v>Regular</v>
      </c>
    </row>
    <row r="508" spans="1:9" x14ac:dyDescent="0.25">
      <c r="A508" s="4">
        <f t="shared" si="7"/>
        <v>507</v>
      </c>
      <c r="B508" s="4" t="s">
        <v>12</v>
      </c>
      <c r="C508" t="str">
        <f>'[2]ATAHUICHI (ELECTRÓNICA)'!$C$4</f>
        <v>BRYAN JOSE ATAHUICHI PINTO</v>
      </c>
      <c r="E508" t="s">
        <v>95</v>
      </c>
      <c r="F508" t="s">
        <v>127</v>
      </c>
      <c r="G508" s="4" t="str">
        <f>'[2]ATAHUICHI (SISTEMAS SIMULACIÓN)'!B12</f>
        <v>4-09563</v>
      </c>
      <c r="H508" t="s">
        <v>99</v>
      </c>
      <c r="I508" s="4" t="str">
        <f>'[2]ATAHUICHI (SISTEMAS SIMULACIÓN)'!F12</f>
        <v>Regular</v>
      </c>
    </row>
    <row r="509" spans="1:9" x14ac:dyDescent="0.25">
      <c r="A509" s="4">
        <f t="shared" si="7"/>
        <v>508</v>
      </c>
      <c r="B509" s="4" t="s">
        <v>12</v>
      </c>
      <c r="C509" t="str">
        <f>'[2]ATAHUICHI (ELECTRÓNICA)'!$C$4</f>
        <v>BRYAN JOSE ATAHUICHI PINTO</v>
      </c>
      <c r="E509" t="s">
        <v>95</v>
      </c>
      <c r="F509" t="s">
        <v>127</v>
      </c>
      <c r="G509" s="4" t="str">
        <f>'[2]ATAHUICHI (SISTEMAS SIMULACIÓN)'!B13</f>
        <v>4-09562</v>
      </c>
      <c r="H509" t="s">
        <v>99</v>
      </c>
      <c r="I509" s="4" t="str">
        <f>'[2]ATAHUICHI (SISTEMAS SIMULACIÓN)'!F13</f>
        <v>Regular</v>
      </c>
    </row>
    <row r="510" spans="1:9" x14ac:dyDescent="0.25">
      <c r="A510" s="4">
        <f t="shared" si="7"/>
        <v>509</v>
      </c>
      <c r="B510" s="4" t="s">
        <v>12</v>
      </c>
      <c r="C510" t="str">
        <f>'[2]ATAHUICHI (ELECTRÓNICA)'!$C$4</f>
        <v>BRYAN JOSE ATAHUICHI PINTO</v>
      </c>
      <c r="E510" t="s">
        <v>95</v>
      </c>
      <c r="F510" t="s">
        <v>127</v>
      </c>
      <c r="G510" s="4" t="str">
        <f>'[2]ATAHUICHI (SISTEMAS SIMULACIÓN)'!B14</f>
        <v>4-05985</v>
      </c>
      <c r="H510" t="s">
        <v>100</v>
      </c>
      <c r="I510" s="4" t="str">
        <f>'[2]ATAHUICHI (SISTEMAS SIMULACIÓN)'!F14</f>
        <v>Regular</v>
      </c>
    </row>
    <row r="511" spans="1:9" ht="14.25" customHeight="1" x14ac:dyDescent="0.25">
      <c r="A511" s="4">
        <f t="shared" si="7"/>
        <v>510</v>
      </c>
      <c r="B511" s="4" t="s">
        <v>12</v>
      </c>
      <c r="C511" t="str">
        <f>'[2]ATAHUICHI (ELECTRÓNICA)'!$C$4</f>
        <v>BRYAN JOSE ATAHUICHI PINTO</v>
      </c>
      <c r="E511" t="s">
        <v>95</v>
      </c>
      <c r="F511" t="s">
        <v>127</v>
      </c>
      <c r="G511" s="4" t="str">
        <f>'[2]ATAHUICHI (SISTEMAS SIMULACIÓN)'!B15</f>
        <v>4-09753</v>
      </c>
      <c r="H511" t="s">
        <v>101</v>
      </c>
      <c r="I511" s="4" t="str">
        <f>'[2]ATAHUICHI (SISTEMAS SIMULACIÓN)'!F15</f>
        <v>Regular</v>
      </c>
    </row>
    <row r="512" spans="1:9" ht="14.25" customHeight="1" x14ac:dyDescent="0.25">
      <c r="A512" s="4">
        <f t="shared" si="7"/>
        <v>511</v>
      </c>
      <c r="B512" s="4" t="s">
        <v>12</v>
      </c>
      <c r="C512" t="str">
        <f>'[2]ATAHUICHI (ELECTRÓNICA)'!$C$4</f>
        <v>BRYAN JOSE ATAHUICHI PINTO</v>
      </c>
      <c r="E512" t="s">
        <v>95</v>
      </c>
      <c r="F512" t="s">
        <v>127</v>
      </c>
      <c r="G512" s="4" t="str">
        <f>'[2]ATAHUICHI (SISTEMAS SIMULACIÓN)'!B16</f>
        <v>4-09752</v>
      </c>
      <c r="H512" t="s">
        <v>101</v>
      </c>
      <c r="I512" s="4" t="str">
        <f>'[2]ATAHUICHI (SISTEMAS SIMULACIÓN)'!F16</f>
        <v>Regular</v>
      </c>
    </row>
    <row r="513" spans="1:9" ht="14.25" customHeight="1" x14ac:dyDescent="0.25">
      <c r="A513" s="4">
        <f t="shared" si="7"/>
        <v>512</v>
      </c>
      <c r="B513" s="4" t="s">
        <v>12</v>
      </c>
      <c r="C513" t="str">
        <f>'[2]ATAHUICHI (ELECTRÓNICA)'!$C$4</f>
        <v>BRYAN JOSE ATAHUICHI PINTO</v>
      </c>
      <c r="E513" t="s">
        <v>95</v>
      </c>
      <c r="F513" t="s">
        <v>127</v>
      </c>
      <c r="G513" s="4" t="str">
        <f>'[2]ATAHUICHI (SISTEMAS SIMULACIÓN)'!B17</f>
        <v>4-09751</v>
      </c>
      <c r="H513" t="s">
        <v>101</v>
      </c>
      <c r="I513" s="4" t="str">
        <f>'[2]ATAHUICHI (SISTEMAS SIMULACIÓN)'!F17</f>
        <v>Regular</v>
      </c>
    </row>
    <row r="514" spans="1:9" ht="14.25" customHeight="1" x14ac:dyDescent="0.25">
      <c r="A514" s="4">
        <f t="shared" si="7"/>
        <v>513</v>
      </c>
      <c r="B514" s="4" t="s">
        <v>12</v>
      </c>
      <c r="C514" t="str">
        <f>'[2]ATAHUICHI (ELECTRÓNICA)'!$C$4</f>
        <v>BRYAN JOSE ATAHUICHI PINTO</v>
      </c>
      <c r="E514" t="s">
        <v>95</v>
      </c>
      <c r="F514" t="s">
        <v>127</v>
      </c>
      <c r="G514" s="4" t="str">
        <f>'[2]ATAHUICHI (SISTEMAS SIMULACIÓN)'!B18</f>
        <v>4-09750</v>
      </c>
      <c r="H514" t="s">
        <v>101</v>
      </c>
      <c r="I514" s="4" t="str">
        <f>'[2]ATAHUICHI (SISTEMAS SIMULACIÓN)'!F18</f>
        <v>Regular</v>
      </c>
    </row>
    <row r="515" spans="1:9" ht="14.25" customHeight="1" x14ac:dyDescent="0.25">
      <c r="A515" s="4">
        <f t="shared" si="7"/>
        <v>514</v>
      </c>
      <c r="B515" s="4" t="s">
        <v>12</v>
      </c>
      <c r="C515" t="str">
        <f>'[2]ATAHUICHI (ELECTRÓNICA)'!$C$4</f>
        <v>BRYAN JOSE ATAHUICHI PINTO</v>
      </c>
      <c r="E515" t="s">
        <v>95</v>
      </c>
      <c r="F515" t="s">
        <v>127</v>
      </c>
      <c r="G515" s="4" t="str">
        <f>'[2]ATAHUICHI (SISTEMAS SIMULACIÓN)'!B19</f>
        <v>4-09749</v>
      </c>
      <c r="H515" t="s">
        <v>101</v>
      </c>
      <c r="I515" s="4" t="str">
        <f>'[2]ATAHUICHI (SISTEMAS SIMULACIÓN)'!F19</f>
        <v>Regular</v>
      </c>
    </row>
    <row r="516" spans="1:9" ht="14.25" customHeight="1" x14ac:dyDescent="0.25">
      <c r="A516" s="4">
        <f t="shared" ref="A516:A579" si="8">A515+1</f>
        <v>515</v>
      </c>
      <c r="B516" s="4" t="s">
        <v>12</v>
      </c>
      <c r="C516" t="str">
        <f>'[2]ATAHUICHI (ELECTRÓNICA)'!$C$4</f>
        <v>BRYAN JOSE ATAHUICHI PINTO</v>
      </c>
      <c r="E516" t="s">
        <v>95</v>
      </c>
      <c r="F516" t="s">
        <v>127</v>
      </c>
      <c r="G516" s="4" t="str">
        <f>'[2]ATAHUICHI (SISTEMAS SIMULACIÓN)'!B20</f>
        <v>4-09748</v>
      </c>
      <c r="H516" t="s">
        <v>101</v>
      </c>
      <c r="I516" s="4" t="str">
        <f>'[2]ATAHUICHI (SISTEMAS SIMULACIÓN)'!F20</f>
        <v>Regular</v>
      </c>
    </row>
    <row r="517" spans="1:9" ht="14.25" customHeight="1" x14ac:dyDescent="0.25">
      <c r="A517" s="4">
        <f t="shared" si="8"/>
        <v>516</v>
      </c>
      <c r="B517" s="4" t="s">
        <v>12</v>
      </c>
      <c r="C517" t="str">
        <f>'[2]ATAHUICHI (ELECTRÓNICA)'!$C$4</f>
        <v>BRYAN JOSE ATAHUICHI PINTO</v>
      </c>
      <c r="E517" t="s">
        <v>95</v>
      </c>
      <c r="F517" t="s">
        <v>127</v>
      </c>
      <c r="G517" s="4" t="str">
        <f>'[2]ATAHUICHI (SISTEMAS SIMULACIÓN)'!B21</f>
        <v>4-09747</v>
      </c>
      <c r="H517" t="s">
        <v>101</v>
      </c>
      <c r="I517" s="4" t="str">
        <f>'[2]ATAHUICHI (SISTEMAS SIMULACIÓN)'!F21</f>
        <v>Regular</v>
      </c>
    </row>
    <row r="518" spans="1:9" x14ac:dyDescent="0.25">
      <c r="A518" s="4">
        <f t="shared" si="8"/>
        <v>517</v>
      </c>
      <c r="B518" s="4" t="s">
        <v>12</v>
      </c>
      <c r="C518" t="str">
        <f>'[2]ATAHUICHI (ELECTRÓNICA)'!$C$4</f>
        <v>BRYAN JOSE ATAHUICHI PINTO</v>
      </c>
      <c r="E518" t="s">
        <v>95</v>
      </c>
      <c r="F518" t="s">
        <v>127</v>
      </c>
      <c r="G518" s="4" t="str">
        <f>'[2]ATAHUICHI (SISTEMAS SIMULACIÓN)'!B22</f>
        <v>4-09626</v>
      </c>
      <c r="H518" t="s">
        <v>102</v>
      </c>
      <c r="I518" s="4" t="str">
        <f>'[2]ATAHUICHI (SISTEMAS SIMULACIÓN)'!F22</f>
        <v>Regular</v>
      </c>
    </row>
    <row r="519" spans="1:9" x14ac:dyDescent="0.25">
      <c r="A519" s="4">
        <f t="shared" si="8"/>
        <v>518</v>
      </c>
      <c r="B519" s="4" t="s">
        <v>12</v>
      </c>
      <c r="C519" t="str">
        <f>'[2]ATAHUICHI (ELECTRÓNICA)'!$C$4</f>
        <v>BRYAN JOSE ATAHUICHI PINTO</v>
      </c>
      <c r="E519" t="s">
        <v>95</v>
      </c>
      <c r="F519" t="s">
        <v>127</v>
      </c>
      <c r="G519" s="4" t="str">
        <f>'[2]ATAHUICHI (SISTEMAS SIMULACIÓN)'!B23</f>
        <v>4-09629</v>
      </c>
      <c r="H519" t="s">
        <v>103</v>
      </c>
      <c r="I519" s="4" t="str">
        <f>'[2]ATAHUICHI (SISTEMAS SIMULACIÓN)'!F23</f>
        <v>Regular</v>
      </c>
    </row>
    <row r="520" spans="1:9" x14ac:dyDescent="0.25">
      <c r="A520" s="4">
        <f t="shared" si="8"/>
        <v>519</v>
      </c>
      <c r="B520" s="4" t="s">
        <v>12</v>
      </c>
      <c r="C520" t="str">
        <f>'[2]ATAHUICHI (ELECTRÓNICA)'!$C$4</f>
        <v>BRYAN JOSE ATAHUICHI PINTO</v>
      </c>
      <c r="E520" t="s">
        <v>95</v>
      </c>
      <c r="F520" t="s">
        <v>127</v>
      </c>
      <c r="G520" s="4" t="str">
        <f>'[2]ATAHUICHI (SISTEMAS SIMULACIÓN)'!B24</f>
        <v>4-09628</v>
      </c>
      <c r="H520" t="s">
        <v>104</v>
      </c>
      <c r="I520" s="4" t="str">
        <f>'[2]ATAHUICHI (SISTEMAS SIMULACIÓN)'!F24</f>
        <v>Regular</v>
      </c>
    </row>
    <row r="521" spans="1:9" x14ac:dyDescent="0.25">
      <c r="A521" s="4">
        <f t="shared" si="8"/>
        <v>520</v>
      </c>
      <c r="B521" s="4" t="s">
        <v>12</v>
      </c>
      <c r="C521" t="str">
        <f>'[2]ATAHUICHI (ELECTRÓNICA)'!$C$4</f>
        <v>BRYAN JOSE ATAHUICHI PINTO</v>
      </c>
      <c r="E521" t="s">
        <v>95</v>
      </c>
      <c r="F521" t="s">
        <v>127</v>
      </c>
      <c r="G521" s="4" t="str">
        <f>'[2]ATAHUICHI (SISTEMAS SIMULACIÓN)'!B25</f>
        <v>4-09627</v>
      </c>
      <c r="H521" t="s">
        <v>105</v>
      </c>
      <c r="I521" s="4" t="str">
        <f>'[2]ATAHUICHI (SISTEMAS SIMULACIÓN)'!F25</f>
        <v>Regular</v>
      </c>
    </row>
    <row r="522" spans="1:9" x14ac:dyDescent="0.25">
      <c r="A522" s="4">
        <f t="shared" si="8"/>
        <v>521</v>
      </c>
      <c r="B522" s="4" t="s">
        <v>12</v>
      </c>
      <c r="C522" t="str">
        <f>'[2]ATAHUICHI (ELECTRÓNICA)'!$C$4</f>
        <v>BRYAN JOSE ATAHUICHI PINTO</v>
      </c>
      <c r="E522" t="s">
        <v>95</v>
      </c>
      <c r="F522" t="s">
        <v>127</v>
      </c>
      <c r="G522" s="4" t="str">
        <f>'[2]ATAHUICHI (SISTEMAS SIMULACIÓN)'!B26</f>
        <v>4-09557</v>
      </c>
      <c r="H522" t="s">
        <v>106</v>
      </c>
      <c r="I522" s="4" t="str">
        <f>'[2]ATAHUICHI (SISTEMAS SIMULACIÓN)'!F26</f>
        <v>Regular</v>
      </c>
    </row>
    <row r="523" spans="1:9" x14ac:dyDescent="0.25">
      <c r="A523" s="4">
        <f t="shared" si="8"/>
        <v>522</v>
      </c>
      <c r="B523" s="4" t="s">
        <v>12</v>
      </c>
      <c r="C523" t="str">
        <f>'[2]ATAHUICHI (ELECTRÓNICA)'!$C$4</f>
        <v>BRYAN JOSE ATAHUICHI PINTO</v>
      </c>
      <c r="E523" t="s">
        <v>95</v>
      </c>
      <c r="F523" t="s">
        <v>127</v>
      </c>
      <c r="G523" s="4" t="str">
        <f>'[2]ATAHUICHI (SISTEMAS SIMULACIÓN)'!B27</f>
        <v>4-09556</v>
      </c>
      <c r="H523" t="s">
        <v>106</v>
      </c>
      <c r="I523" s="4" t="str">
        <f>'[2]ATAHUICHI (SISTEMAS SIMULACIÓN)'!F27</f>
        <v>Regular</v>
      </c>
    </row>
    <row r="524" spans="1:9" x14ac:dyDescent="0.25">
      <c r="A524" s="4">
        <f t="shared" si="8"/>
        <v>523</v>
      </c>
      <c r="B524" s="4" t="s">
        <v>12</v>
      </c>
      <c r="C524" t="str">
        <f>'[2]ATAHUICHI (ELECTRÓNICA)'!$C$4</f>
        <v>BRYAN JOSE ATAHUICHI PINTO</v>
      </c>
      <c r="E524" t="s">
        <v>95</v>
      </c>
      <c r="F524" t="s">
        <v>127</v>
      </c>
      <c r="G524" s="4" t="str">
        <f>'[2]ATAHUICHI (SISTEMAS SIMULACIÓN)'!B28</f>
        <v>4-09555</v>
      </c>
      <c r="H524" t="s">
        <v>106</v>
      </c>
      <c r="I524" s="4" t="str">
        <f>'[2]ATAHUICHI (SISTEMAS SIMULACIÓN)'!F28</f>
        <v>Regular</v>
      </c>
    </row>
    <row r="525" spans="1:9" x14ac:dyDescent="0.25">
      <c r="A525" s="4">
        <f t="shared" si="8"/>
        <v>524</v>
      </c>
      <c r="B525" s="4" t="s">
        <v>12</v>
      </c>
      <c r="C525" t="str">
        <f>'[2]ATAHUICHI (ELECTRÓNICA)'!$C$4</f>
        <v>BRYAN JOSE ATAHUICHI PINTO</v>
      </c>
      <c r="E525" t="s">
        <v>95</v>
      </c>
      <c r="F525" t="s">
        <v>127</v>
      </c>
      <c r="G525" s="4" t="str">
        <f>'[2]ATAHUICHI (SISTEMAS SIMULACIÓN)'!B29</f>
        <v>4-09554</v>
      </c>
      <c r="H525" t="s">
        <v>106</v>
      </c>
      <c r="I525" s="4" t="str">
        <f>'[2]ATAHUICHI (SISTEMAS SIMULACIÓN)'!F29</f>
        <v>Regular</v>
      </c>
    </row>
    <row r="526" spans="1:9" x14ac:dyDescent="0.25">
      <c r="A526" s="4">
        <f t="shared" si="8"/>
        <v>525</v>
      </c>
      <c r="B526" s="4" t="s">
        <v>12</v>
      </c>
      <c r="C526" t="str">
        <f>'[2]ATAHUICHI (ELECTRÓNICA)'!$C$4</f>
        <v>BRYAN JOSE ATAHUICHI PINTO</v>
      </c>
      <c r="E526" t="s">
        <v>95</v>
      </c>
      <c r="F526" t="s">
        <v>127</v>
      </c>
      <c r="G526" s="4" t="str">
        <f>'[2]ATAHUICHI (SISTEMAS SIMULACIÓN)'!B30</f>
        <v>4-00319</v>
      </c>
      <c r="H526" t="s">
        <v>107</v>
      </c>
      <c r="I526" s="4" t="str">
        <f>'[2]ATAHUICHI (SISTEMAS SIMULACIÓN)'!F30</f>
        <v>Regular</v>
      </c>
    </row>
    <row r="527" spans="1:9" x14ac:dyDescent="0.25">
      <c r="A527" s="4">
        <f t="shared" si="8"/>
        <v>526</v>
      </c>
      <c r="B527" s="4" t="s">
        <v>12</v>
      </c>
      <c r="C527" t="str">
        <f>'[2]ATAHUICHI (ELECTRÓNICA)'!$C$4</f>
        <v>BRYAN JOSE ATAHUICHI PINTO</v>
      </c>
      <c r="E527" t="s">
        <v>95</v>
      </c>
      <c r="F527" t="s">
        <v>127</v>
      </c>
      <c r="G527" s="4" t="str">
        <f>'[2]ATAHUICHI (SISTEMAS SIMULACIÓN)'!B31</f>
        <v>4-08656</v>
      </c>
      <c r="H527" t="s">
        <v>108</v>
      </c>
      <c r="I527" s="4" t="str">
        <f>'[2]ATAHUICHI (SISTEMAS SIMULACIÓN)'!F31</f>
        <v>Regular</v>
      </c>
    </row>
    <row r="528" spans="1:9" ht="14.25" customHeight="1" x14ac:dyDescent="0.25">
      <c r="A528" s="4">
        <f t="shared" si="8"/>
        <v>527</v>
      </c>
      <c r="B528" s="4" t="s">
        <v>12</v>
      </c>
      <c r="C528" t="str">
        <f>'[2]ATAHUICHI (ELECTRÓNICA)'!$C$4</f>
        <v>BRYAN JOSE ATAHUICHI PINTO</v>
      </c>
      <c r="E528" t="s">
        <v>95</v>
      </c>
      <c r="F528" t="s">
        <v>127</v>
      </c>
      <c r="G528" s="4" t="str">
        <f>'[2]ATAHUICHI (SISTEMAS SIMULACIÓN)'!B32</f>
        <v>4-08620</v>
      </c>
      <c r="H528" t="s">
        <v>109</v>
      </c>
      <c r="I528" s="4" t="str">
        <f>'[2]ATAHUICHI (SISTEMAS SIMULACIÓN)'!F32</f>
        <v>Regular</v>
      </c>
    </row>
    <row r="529" spans="1:9" x14ac:dyDescent="0.25">
      <c r="A529" s="4">
        <f t="shared" si="8"/>
        <v>528</v>
      </c>
      <c r="B529" s="4" t="s">
        <v>12</v>
      </c>
      <c r="C529" t="str">
        <f>'[2]ATAHUICHI (ELECTRÓNICA)'!$C$4</f>
        <v>BRYAN JOSE ATAHUICHI PINTO</v>
      </c>
      <c r="E529" t="s">
        <v>95</v>
      </c>
      <c r="F529" t="s">
        <v>127</v>
      </c>
      <c r="G529" s="4" t="str">
        <f>'[2]ATAHUICHI (SISTEMAS SIMULACIÓN)'!B33</f>
        <v>4-09625</v>
      </c>
      <c r="H529" t="s">
        <v>110</v>
      </c>
      <c r="I529" s="4" t="str">
        <f>'[2]ATAHUICHI (SISTEMAS SIMULACIÓN)'!F33</f>
        <v>Regular</v>
      </c>
    </row>
    <row r="530" spans="1:9" x14ac:dyDescent="0.25">
      <c r="A530" s="4">
        <f t="shared" si="8"/>
        <v>529</v>
      </c>
      <c r="B530" s="4" t="s">
        <v>12</v>
      </c>
      <c r="C530" t="str">
        <f>'[2]ATAHUICHI (ELECTRÓNICA)'!$C$4</f>
        <v>BRYAN JOSE ATAHUICHI PINTO</v>
      </c>
      <c r="E530" t="s">
        <v>95</v>
      </c>
      <c r="F530" t="s">
        <v>127</v>
      </c>
      <c r="G530" s="4" t="str">
        <f>'[2]ATAHUICHI (SISTEMAS SIMULACIÓN)'!B34</f>
        <v>4-09624</v>
      </c>
      <c r="H530" t="s">
        <v>110</v>
      </c>
      <c r="I530" s="4" t="str">
        <f>'[2]ATAHUICHI (SISTEMAS SIMULACIÓN)'!F34</f>
        <v>Regular</v>
      </c>
    </row>
    <row r="531" spans="1:9" x14ac:dyDescent="0.25">
      <c r="A531" s="4">
        <f t="shared" si="8"/>
        <v>530</v>
      </c>
      <c r="B531" s="4" t="s">
        <v>12</v>
      </c>
      <c r="C531" t="str">
        <f>'[2]ATAHUICHI (ELECTRÓNICA)'!$C$4</f>
        <v>BRYAN JOSE ATAHUICHI PINTO</v>
      </c>
      <c r="E531" t="s">
        <v>95</v>
      </c>
      <c r="F531" t="s">
        <v>127</v>
      </c>
      <c r="G531" s="4" t="str">
        <f>'[2]ATAHUICHI (SISTEMAS SIMULACIÓN)'!B35</f>
        <v>4-09623</v>
      </c>
      <c r="H531" t="s">
        <v>110</v>
      </c>
      <c r="I531" s="4" t="str">
        <f>'[2]ATAHUICHI (SISTEMAS SIMULACIÓN)'!F35</f>
        <v>Regular</v>
      </c>
    </row>
    <row r="532" spans="1:9" x14ac:dyDescent="0.25">
      <c r="A532" s="4">
        <f t="shared" si="8"/>
        <v>531</v>
      </c>
      <c r="B532" s="4" t="s">
        <v>12</v>
      </c>
      <c r="C532" t="str">
        <f>'[2]ATAHUICHI (ELECTRÓNICA)'!$C$4</f>
        <v>BRYAN JOSE ATAHUICHI PINTO</v>
      </c>
      <c r="E532" t="s">
        <v>95</v>
      </c>
      <c r="F532" t="s">
        <v>127</v>
      </c>
      <c r="G532" s="4" t="str">
        <f>'[2]ATAHUICHI (SISTEMAS SIMULACIÓN)'!B36</f>
        <v>4-09622</v>
      </c>
      <c r="H532" t="s">
        <v>110</v>
      </c>
      <c r="I532" s="4" t="str">
        <f>'[2]ATAHUICHI (SISTEMAS SIMULACIÓN)'!F36</f>
        <v>Regular</v>
      </c>
    </row>
    <row r="533" spans="1:9" ht="14.25" customHeight="1" x14ac:dyDescent="0.25">
      <c r="A533" s="4">
        <f t="shared" si="8"/>
        <v>532</v>
      </c>
      <c r="B533" s="4" t="s">
        <v>12</v>
      </c>
      <c r="C533" t="str">
        <f>'[2]ATAHUICHI (ELECTRÓNICA)'!$C$4</f>
        <v>BRYAN JOSE ATAHUICHI PINTO</v>
      </c>
      <c r="E533" t="s">
        <v>95</v>
      </c>
      <c r="F533" t="s">
        <v>127</v>
      </c>
      <c r="G533" s="4" t="str">
        <f>'[2]ATAHUICHI (SISTEMAS SIMULACIÓN)'!B37</f>
        <v>4-09561</v>
      </c>
      <c r="H533" t="s">
        <v>111</v>
      </c>
      <c r="I533" s="4" t="str">
        <f>'[2]ATAHUICHI (SISTEMAS SIMULACIÓN)'!F37</f>
        <v>Regular</v>
      </c>
    </row>
    <row r="534" spans="1:9" ht="14.25" customHeight="1" x14ac:dyDescent="0.25">
      <c r="A534" s="4">
        <f t="shared" si="8"/>
        <v>533</v>
      </c>
      <c r="B534" s="4" t="s">
        <v>12</v>
      </c>
      <c r="C534" t="str">
        <f>'[2]ATAHUICHI (ELECTRÓNICA)'!$C$4</f>
        <v>BRYAN JOSE ATAHUICHI PINTO</v>
      </c>
      <c r="E534" t="s">
        <v>95</v>
      </c>
      <c r="F534" t="s">
        <v>127</v>
      </c>
      <c r="G534" s="4" t="str">
        <f>'[2]ATAHUICHI (SISTEMAS SIMULACIÓN)'!B38</f>
        <v>4-09560</v>
      </c>
      <c r="H534" t="s">
        <v>111</v>
      </c>
      <c r="I534" s="4" t="str">
        <f>'[2]ATAHUICHI (SISTEMAS SIMULACIÓN)'!F38</f>
        <v>Regular</v>
      </c>
    </row>
    <row r="535" spans="1:9" ht="14.25" customHeight="1" x14ac:dyDescent="0.25">
      <c r="A535" s="4">
        <f t="shared" si="8"/>
        <v>534</v>
      </c>
      <c r="B535" s="4" t="s">
        <v>12</v>
      </c>
      <c r="C535" t="str">
        <f>'[2]ATAHUICHI (ELECTRÓNICA)'!$C$4</f>
        <v>BRYAN JOSE ATAHUICHI PINTO</v>
      </c>
      <c r="E535" t="s">
        <v>95</v>
      </c>
      <c r="F535" t="s">
        <v>127</v>
      </c>
      <c r="G535" s="4" t="str">
        <f>'[2]ATAHUICHI (SISTEMAS SIMULACIÓN)'!B39</f>
        <v>4-09559</v>
      </c>
      <c r="H535" t="s">
        <v>112</v>
      </c>
      <c r="I535" s="4" t="str">
        <f>'[2]ATAHUICHI (SISTEMAS SIMULACIÓN)'!F39</f>
        <v>Regular</v>
      </c>
    </row>
    <row r="536" spans="1:9" ht="14.25" customHeight="1" x14ac:dyDescent="0.25">
      <c r="A536" s="4">
        <f t="shared" si="8"/>
        <v>535</v>
      </c>
      <c r="B536" s="4" t="s">
        <v>12</v>
      </c>
      <c r="C536" t="str">
        <f>'[2]ATAHUICHI (ELECTRÓNICA)'!$C$4</f>
        <v>BRYAN JOSE ATAHUICHI PINTO</v>
      </c>
      <c r="E536" t="s">
        <v>95</v>
      </c>
      <c r="F536" t="s">
        <v>127</v>
      </c>
      <c r="G536" s="4" t="str">
        <f>'[2]ATAHUICHI (SISTEMAS SIMULACIÓN)'!B40</f>
        <v>4-09558</v>
      </c>
      <c r="H536" t="s">
        <v>113</v>
      </c>
      <c r="I536" s="4" t="str">
        <f>'[2]ATAHUICHI (SISTEMAS SIMULACIÓN)'!F40</f>
        <v>Regular</v>
      </c>
    </row>
    <row r="537" spans="1:9" x14ac:dyDescent="0.25">
      <c r="A537" s="4">
        <f t="shared" si="8"/>
        <v>536</v>
      </c>
      <c r="B537" s="4" t="s">
        <v>12</v>
      </c>
      <c r="C537" t="str">
        <f>'[2]ATAHUICHI (ELECTRÓNICA)'!$C$4</f>
        <v>BRYAN JOSE ATAHUICHI PINTO</v>
      </c>
      <c r="E537" t="s">
        <v>95</v>
      </c>
      <c r="F537" t="s">
        <v>127</v>
      </c>
      <c r="G537" s="4" t="str">
        <f>'[2]ATAHUICHI (SISTEMAS SIMULACIÓN)'!B41</f>
        <v>4-00124</v>
      </c>
      <c r="H537" t="s">
        <v>114</v>
      </c>
      <c r="I537" s="4" t="str">
        <f>'[2]ATAHUICHI (SISTEMAS SIMULACIÓN)'!F41</f>
        <v>Regular</v>
      </c>
    </row>
    <row r="538" spans="1:9" x14ac:dyDescent="0.25">
      <c r="A538" s="4">
        <f t="shared" si="8"/>
        <v>537</v>
      </c>
      <c r="B538" s="4" t="s">
        <v>12</v>
      </c>
      <c r="C538" t="str">
        <f>'[2]ATAHUICHI (ELECTRÓNICA)'!$C$4</f>
        <v>BRYAN JOSE ATAHUICHI PINTO</v>
      </c>
      <c r="E538" t="s">
        <v>95</v>
      </c>
      <c r="F538" t="s">
        <v>127</v>
      </c>
      <c r="G538" s="4" t="str">
        <f>'[2]ATAHUICHI (SISTEMAS SIMULACIÓN)'!B42</f>
        <v>4-00025</v>
      </c>
      <c r="H538" t="s">
        <v>115</v>
      </c>
      <c r="I538" s="4" t="str">
        <f>'[2]ATAHUICHI (SISTEMAS SIMULACIÓN)'!F42</f>
        <v>Regular</v>
      </c>
    </row>
    <row r="539" spans="1:9" x14ac:dyDescent="0.25">
      <c r="A539" s="4">
        <f t="shared" si="8"/>
        <v>538</v>
      </c>
      <c r="B539" s="4" t="s">
        <v>12</v>
      </c>
      <c r="C539" t="str">
        <f>'[2]ATAHUICHI (ELECTRÓNICA)'!$C$4</f>
        <v>BRYAN JOSE ATAHUICHI PINTO</v>
      </c>
      <c r="E539" t="s">
        <v>95</v>
      </c>
      <c r="F539" t="s">
        <v>127</v>
      </c>
      <c r="G539" s="4" t="str">
        <f>'[2]ATAHUICHI (SISTEMAS SIMULACIÓN)'!B43</f>
        <v>4-05101</v>
      </c>
      <c r="H539" t="s">
        <v>116</v>
      </c>
      <c r="I539" s="4" t="str">
        <f>'[2]ATAHUICHI (SISTEMAS SIMULACIÓN)'!F43</f>
        <v>Regular</v>
      </c>
    </row>
    <row r="540" spans="1:9" x14ac:dyDescent="0.25">
      <c r="A540" s="4">
        <f t="shared" si="8"/>
        <v>539</v>
      </c>
      <c r="B540" s="4" t="s">
        <v>12</v>
      </c>
      <c r="C540" t="str">
        <f>'[2]ATAHUICHI (ELECTRÓNICA)'!$C$4</f>
        <v>BRYAN JOSE ATAHUICHI PINTO</v>
      </c>
      <c r="E540" t="s">
        <v>95</v>
      </c>
      <c r="F540" t="s">
        <v>127</v>
      </c>
      <c r="G540" s="4" t="str">
        <f>'[2]ATAHUICHI (SISTEMAS SIMULACIÓN)'!B44</f>
        <v>4-00531</v>
      </c>
      <c r="H540" t="s">
        <v>117</v>
      </c>
      <c r="I540" s="4" t="str">
        <f>'[2]ATAHUICHI (SISTEMAS SIMULACIÓN)'!F44</f>
        <v>Regular</v>
      </c>
    </row>
    <row r="541" spans="1:9" x14ac:dyDescent="0.25">
      <c r="A541" s="4">
        <f t="shared" si="8"/>
        <v>540</v>
      </c>
      <c r="B541" s="4" t="s">
        <v>12</v>
      </c>
      <c r="C541" t="str">
        <f>'[2]ATAHUICHI (ELECTRÓNICA)'!$C$4</f>
        <v>BRYAN JOSE ATAHUICHI PINTO</v>
      </c>
      <c r="E541" t="s">
        <v>95</v>
      </c>
      <c r="F541" t="s">
        <v>127</v>
      </c>
      <c r="G541" s="4" t="str">
        <f>'[2]ATAHUICHI (SISTEMAS SIMULACIÓN)'!B45</f>
        <v>4-09570</v>
      </c>
      <c r="H541" t="s">
        <v>118</v>
      </c>
      <c r="I541" s="4" t="str">
        <f>'[2]ATAHUICHI (SISTEMAS SIMULACIÓN)'!F45</f>
        <v>Regular</v>
      </c>
    </row>
    <row r="542" spans="1:9" ht="14.25" customHeight="1" x14ac:dyDescent="0.25">
      <c r="A542" s="4">
        <f t="shared" si="8"/>
        <v>541</v>
      </c>
      <c r="B542" s="4" t="s">
        <v>12</v>
      </c>
      <c r="C542" t="str">
        <f>'[2]ATAHUICHI (ELECTRÓNICA)'!$C$4</f>
        <v>BRYAN JOSE ATAHUICHI PINTO</v>
      </c>
      <c r="E542" t="s">
        <v>95</v>
      </c>
      <c r="F542" t="s">
        <v>127</v>
      </c>
      <c r="G542" s="4" t="str">
        <f>'[2]ATAHUICHI (SISTEMAS SIMULACIÓN)'!B46</f>
        <v>4-08568</v>
      </c>
      <c r="H542" t="s">
        <v>119</v>
      </c>
      <c r="I542" s="4" t="str">
        <f>'[2]ATAHUICHI (SISTEMAS SIMULACIÓN)'!F46</f>
        <v>Regular</v>
      </c>
    </row>
    <row r="543" spans="1:9" x14ac:dyDescent="0.25">
      <c r="A543" s="4">
        <f t="shared" si="8"/>
        <v>542</v>
      </c>
      <c r="B543" s="4" t="s">
        <v>12</v>
      </c>
      <c r="C543" t="str">
        <f>'[2]ATAHUICHI (ELECTRÓNICA)'!$C$4</f>
        <v>BRYAN JOSE ATAHUICHI PINTO</v>
      </c>
      <c r="E543" t="s">
        <v>95</v>
      </c>
      <c r="F543" t="s">
        <v>127</v>
      </c>
      <c r="G543" s="4" t="str">
        <f>'[2]ATAHUICHI (SISTEMAS SIMULACIÓN)'!B47</f>
        <v>4-05139</v>
      </c>
      <c r="H543" t="s">
        <v>120</v>
      </c>
      <c r="I543" s="4" t="str">
        <f>'[2]ATAHUICHI (SISTEMAS SIMULACIÓN)'!F47</f>
        <v>Regular</v>
      </c>
    </row>
    <row r="544" spans="1:9" x14ac:dyDescent="0.25">
      <c r="A544" s="4">
        <f t="shared" si="8"/>
        <v>543</v>
      </c>
      <c r="B544" s="4" t="s">
        <v>12</v>
      </c>
      <c r="C544" t="str">
        <f>'[2]ATAHUICHI (ELECTRÓNICA)'!$C$4</f>
        <v>BRYAN JOSE ATAHUICHI PINTO</v>
      </c>
      <c r="E544" t="s">
        <v>95</v>
      </c>
      <c r="F544" t="s">
        <v>127</v>
      </c>
      <c r="G544" s="4" t="str">
        <f>'[2]ATAHUICHI (SISTEMAS SIMULACIÓN)'!B48</f>
        <v>4-05141</v>
      </c>
      <c r="H544" t="s">
        <v>121</v>
      </c>
      <c r="I544" s="4" t="str">
        <f>'[2]ATAHUICHI (SISTEMAS SIMULACIÓN)'!F48</f>
        <v>Regular</v>
      </c>
    </row>
    <row r="545" spans="1:9" x14ac:dyDescent="0.25">
      <c r="A545" s="4">
        <f t="shared" si="8"/>
        <v>544</v>
      </c>
      <c r="B545" s="4" t="s">
        <v>12</v>
      </c>
      <c r="C545" t="str">
        <f>'[2]ATAHUICHI (ELECTRÓNICA)'!$C$4</f>
        <v>BRYAN JOSE ATAHUICHI PINTO</v>
      </c>
      <c r="E545" t="s">
        <v>95</v>
      </c>
      <c r="F545" t="s">
        <v>127</v>
      </c>
      <c r="G545" s="4" t="str">
        <f>'[2]ATAHUICHI (SISTEMAS SIMULACIÓN)'!B49</f>
        <v>4-05143</v>
      </c>
      <c r="H545" t="s">
        <v>121</v>
      </c>
      <c r="I545" s="4" t="str">
        <f>'[2]ATAHUICHI (SISTEMAS SIMULACIÓN)'!F49</f>
        <v>Regular</v>
      </c>
    </row>
    <row r="546" spans="1:9" x14ac:dyDescent="0.25">
      <c r="A546" s="4">
        <f t="shared" si="8"/>
        <v>545</v>
      </c>
      <c r="B546" s="4" t="s">
        <v>12</v>
      </c>
      <c r="C546" t="str">
        <f>'[2]ATAHUICHI (ELECTRÓNICA)'!$C$4</f>
        <v>BRYAN JOSE ATAHUICHI PINTO</v>
      </c>
      <c r="E546" t="s">
        <v>95</v>
      </c>
      <c r="F546" t="s">
        <v>127</v>
      </c>
      <c r="G546" s="4" t="str">
        <f>'[2]ATAHUICHI (SISTEMAS SIMULACIÓN)'!B50</f>
        <v>4-06544</v>
      </c>
      <c r="H546" t="s">
        <v>121</v>
      </c>
      <c r="I546" s="4" t="str">
        <f>'[2]ATAHUICHI (SISTEMAS SIMULACIÓN)'!F50</f>
        <v>Regular</v>
      </c>
    </row>
    <row r="547" spans="1:9" x14ac:dyDescent="0.25">
      <c r="A547" s="4">
        <f t="shared" si="8"/>
        <v>546</v>
      </c>
      <c r="B547" s="4" t="s">
        <v>12</v>
      </c>
      <c r="C547" t="str">
        <f>[3]Sheet1!$D$3</f>
        <v>KARLA LORENA CAMACHO BARBA</v>
      </c>
      <c r="E547" t="s">
        <v>133</v>
      </c>
      <c r="F547" t="s">
        <v>134</v>
      </c>
      <c r="G547" s="4" t="str">
        <f>[3]Sheet1!B3</f>
        <v>4-011363</v>
      </c>
      <c r="H547" t="str">
        <f>[3]Sheet1!C3</f>
        <v>LUXOMETRO PROFESIONAL MARCA DELTAOHM MODELO HD2102.2 PROCEDENCIA ITALIA SERIE 23016240</v>
      </c>
      <c r="I547" s="5" t="s">
        <v>132</v>
      </c>
    </row>
    <row r="548" spans="1:9" x14ac:dyDescent="0.25">
      <c r="A548" s="4">
        <f t="shared" si="8"/>
        <v>547</v>
      </c>
      <c r="B548" s="4" t="s">
        <v>12</v>
      </c>
      <c r="C548" t="str">
        <f>[3]Sheet1!$D$3</f>
        <v>KARLA LORENA CAMACHO BARBA</v>
      </c>
      <c r="E548" t="s">
        <v>133</v>
      </c>
      <c r="F548" t="s">
        <v>134</v>
      </c>
      <c r="G548" s="4" t="str">
        <f>[3]Sheet1!B4</f>
        <v>4-011390</v>
      </c>
      <c r="H548" t="str">
        <f>[3]Sheet1!C4</f>
        <v>CONSERVADOR DE LABORATORIO MARCA COOLERMED MODELO MSI390A SI PROCEDENCIA TURQUIA SERIE 390S001601072022A008</v>
      </c>
      <c r="I548" s="5" t="s">
        <v>132</v>
      </c>
    </row>
    <row r="549" spans="1:9" x14ac:dyDescent="0.25">
      <c r="A549" s="4">
        <f t="shared" si="8"/>
        <v>548</v>
      </c>
      <c r="B549" s="4" t="s">
        <v>12</v>
      </c>
      <c r="C549" t="str">
        <f>[3]Sheet1!$D$3</f>
        <v>KARLA LORENA CAMACHO BARBA</v>
      </c>
      <c r="E549" t="s">
        <v>133</v>
      </c>
      <c r="F549" t="s">
        <v>134</v>
      </c>
      <c r="G549" s="4" t="str">
        <f>[3]Sheet1!B5</f>
        <v>4-09394</v>
      </c>
      <c r="H549" t="str">
        <f>[3]Sheet1!C5</f>
        <v>REFRIGERADOR - CONGELADOR MARCA CONSUL MOD CHA24B1 S/N:JJ7899987 PROCEDENCIA BRASIL CAPAC 220 LITROS CAPAC ALMACENAJE 135 KG</v>
      </c>
      <c r="I549" s="5" t="s">
        <v>132</v>
      </c>
    </row>
    <row r="550" spans="1:9" x14ac:dyDescent="0.25">
      <c r="A550" s="4">
        <f t="shared" si="8"/>
        <v>549</v>
      </c>
      <c r="B550" s="4" t="s">
        <v>12</v>
      </c>
      <c r="C550" t="str">
        <f>[3]Sheet1!$D$3</f>
        <v>KARLA LORENA CAMACHO BARBA</v>
      </c>
      <c r="E550" t="s">
        <v>133</v>
      </c>
      <c r="F550" t="s">
        <v>134</v>
      </c>
      <c r="G550" s="4" t="str">
        <f>[3]Sheet1!B6</f>
        <v>4-09393</v>
      </c>
      <c r="H550" t="str">
        <f>[3]Sheet1!C6</f>
        <v>REFRIGERADOR - CONGELADOR MARCA CONSUL MOD CHA24B1 S/N:JJ7899987 PROCEDENCIA BRASIL CAPAC 220 LITROS CAPAC ALMACENAJE 135 KG.</v>
      </c>
      <c r="I550" s="5" t="s">
        <v>132</v>
      </c>
    </row>
    <row r="551" spans="1:9" x14ac:dyDescent="0.25">
      <c r="A551" s="4">
        <f t="shared" si="8"/>
        <v>550</v>
      </c>
      <c r="B551" s="4" t="s">
        <v>12</v>
      </c>
      <c r="C551" t="str">
        <f>[3]Sheet1!$D$3</f>
        <v>KARLA LORENA CAMACHO BARBA</v>
      </c>
      <c r="E551" t="s">
        <v>133</v>
      </c>
      <c r="F551" t="s">
        <v>134</v>
      </c>
      <c r="G551" s="4" t="str">
        <f>[3]Sheet1!B7</f>
        <v>4-011387</v>
      </c>
      <c r="H551" t="str">
        <f>[3]Sheet1!C7</f>
        <v>EQUIPO PARA DETERMINACION DE CALIDAD DE GLUTEN MARCA ERKAYA MODELO GW 3200 PROCEDENCIA TURQUIA SERIE CEG 287</v>
      </c>
      <c r="I551" s="5" t="s">
        <v>132</v>
      </c>
    </row>
    <row r="552" spans="1:9" x14ac:dyDescent="0.25">
      <c r="A552" s="4">
        <f t="shared" si="8"/>
        <v>551</v>
      </c>
      <c r="B552" s="4" t="s">
        <v>12</v>
      </c>
      <c r="C552" t="str">
        <f>[3]Sheet1!$D$3</f>
        <v>KARLA LORENA CAMACHO BARBA</v>
      </c>
      <c r="E552" t="s">
        <v>133</v>
      </c>
      <c r="F552" t="s">
        <v>134</v>
      </c>
      <c r="G552" s="4" t="str">
        <f>[3]Sheet1!B8</f>
        <v>4-09398</v>
      </c>
      <c r="H552" t="str">
        <f>[3]Sheet1!C8</f>
        <v>REFRACTOMETRO DE MANO MARCA KERN MODELO ORA 3HB SERIE QRB18A2873 PROCEDENCIA CHINA</v>
      </c>
      <c r="I552" s="5" t="s">
        <v>132</v>
      </c>
    </row>
    <row r="553" spans="1:9" x14ac:dyDescent="0.25">
      <c r="A553" s="4">
        <f t="shared" si="8"/>
        <v>552</v>
      </c>
      <c r="B553" s="4" t="s">
        <v>12</v>
      </c>
      <c r="C553" t="str">
        <f>[3]Sheet1!$D$3</f>
        <v>KARLA LORENA CAMACHO BARBA</v>
      </c>
      <c r="E553" t="s">
        <v>133</v>
      </c>
      <c r="F553" t="s">
        <v>134</v>
      </c>
      <c r="G553" s="4" t="str">
        <f>[3]Sheet1!B9</f>
        <v>4-09397</v>
      </c>
      <c r="H553" t="str">
        <f>[3]Sheet1!C9</f>
        <v>REFRACTOMETRO DE MANO MARCA KERN MODELO ORA 3HB SERIE QRB18A2868 PROCEDENCIA CHINA</v>
      </c>
      <c r="I553" s="5" t="s">
        <v>132</v>
      </c>
    </row>
    <row r="554" spans="1:9" x14ac:dyDescent="0.25">
      <c r="A554" s="4">
        <f t="shared" si="8"/>
        <v>553</v>
      </c>
      <c r="B554" s="4" t="s">
        <v>12</v>
      </c>
      <c r="C554" t="str">
        <f>[3]Sheet1!$D$3</f>
        <v>KARLA LORENA CAMACHO BARBA</v>
      </c>
      <c r="E554" t="s">
        <v>133</v>
      </c>
      <c r="F554" t="s">
        <v>134</v>
      </c>
      <c r="G554" s="4" t="str">
        <f>[3]Sheet1!B10</f>
        <v>4-011397</v>
      </c>
      <c r="H554" t="str">
        <f>[3]Sheet1!C10</f>
        <v>REFRACTOMETRO DIGITAL PORTATIL MARCA KRUESS MODELO DR301- 95 PROCEDENCIA ALEMANIA SERIE 2330112798</v>
      </c>
      <c r="I554" s="5" t="s">
        <v>132</v>
      </c>
    </row>
    <row r="555" spans="1:9" x14ac:dyDescent="0.25">
      <c r="A555" s="4">
        <f t="shared" si="8"/>
        <v>554</v>
      </c>
      <c r="B555" s="4" t="s">
        <v>12</v>
      </c>
      <c r="C555" t="str">
        <f>[3]Sheet1!$D$3</f>
        <v>KARLA LORENA CAMACHO BARBA</v>
      </c>
      <c r="E555" t="s">
        <v>133</v>
      </c>
      <c r="F555" t="s">
        <v>134</v>
      </c>
      <c r="G555" s="4" t="str">
        <f>[3]Sheet1!B11</f>
        <v>4-011371</v>
      </c>
      <c r="H555" t="str">
        <f>[3]Sheet1!C11</f>
        <v>REFRACTOMETRO DIGITAL PORTATIL MARCA COMECTA MODELO NR-151 PROCEDENCIA ESPANA SERIE P8330</v>
      </c>
      <c r="I555" s="5" t="s">
        <v>132</v>
      </c>
    </row>
    <row r="556" spans="1:9" x14ac:dyDescent="0.25">
      <c r="A556" s="4">
        <f t="shared" si="8"/>
        <v>555</v>
      </c>
      <c r="B556" s="4" t="s">
        <v>12</v>
      </c>
      <c r="C556" t="str">
        <f>[3]Sheet1!$D$3</f>
        <v>KARLA LORENA CAMACHO BARBA</v>
      </c>
      <c r="E556" t="s">
        <v>133</v>
      </c>
      <c r="F556" t="s">
        <v>134</v>
      </c>
      <c r="G556" s="4" t="str">
        <f>[3]Sheet1!B12</f>
        <v>4-11645</v>
      </c>
      <c r="H556" t="str">
        <f>[3]Sheet1!C12</f>
        <v>TITULADOR AUTOMATICO MARCA HANON MODELO T960 NUMERO DE SERIE T9428230038K PROCEDENCIA CHINA</v>
      </c>
      <c r="I556" s="5" t="s">
        <v>132</v>
      </c>
    </row>
    <row r="557" spans="1:9" x14ac:dyDescent="0.25">
      <c r="A557" s="4">
        <f t="shared" si="8"/>
        <v>556</v>
      </c>
      <c r="B557" s="4" t="s">
        <v>12</v>
      </c>
      <c r="C557" t="str">
        <f>[3]Sheet1!$D$3</f>
        <v>KARLA LORENA CAMACHO BARBA</v>
      </c>
      <c r="E557" t="s">
        <v>133</v>
      </c>
      <c r="F557" t="s">
        <v>134</v>
      </c>
      <c r="G557" s="4" t="str">
        <f>[3]Sheet1!B13</f>
        <v>4-011410</v>
      </c>
      <c r="H557" t="str">
        <f>[3]Sheet1!C13</f>
        <v>PLACAS CALEFACTORAS MARCA DLAB MODELO HP 500-S PROCEDENCIA CHINA SERIE MU235AQ0000754</v>
      </c>
      <c r="I557" s="5" t="s">
        <v>132</v>
      </c>
    </row>
    <row r="558" spans="1:9" x14ac:dyDescent="0.25">
      <c r="A558" s="4">
        <f t="shared" si="8"/>
        <v>557</v>
      </c>
      <c r="B558" s="4" t="s">
        <v>12</v>
      </c>
      <c r="C558" t="str">
        <f>[3]Sheet1!$D$3</f>
        <v>KARLA LORENA CAMACHO BARBA</v>
      </c>
      <c r="E558" t="s">
        <v>133</v>
      </c>
      <c r="F558" t="s">
        <v>134</v>
      </c>
      <c r="G558" s="4" t="str">
        <f>[3]Sheet1!B14</f>
        <v>4-011411</v>
      </c>
      <c r="H558" t="str">
        <f>[3]Sheet1!C14</f>
        <v>PLACAS CALEFACTORAS MARCA DLAB MODELO HP 500-S PROCEDENCIA CHINA SERIE MU235AQ0000755</v>
      </c>
      <c r="I558" s="5" t="s">
        <v>132</v>
      </c>
    </row>
    <row r="559" spans="1:9" x14ac:dyDescent="0.25">
      <c r="A559" s="4">
        <f t="shared" si="8"/>
        <v>558</v>
      </c>
      <c r="B559" s="4" t="s">
        <v>12</v>
      </c>
      <c r="C559" t="str">
        <f>[3]Sheet1!$D$3</f>
        <v>KARLA LORENA CAMACHO BARBA</v>
      </c>
      <c r="E559" t="s">
        <v>133</v>
      </c>
      <c r="F559" t="s">
        <v>134</v>
      </c>
      <c r="G559" s="4" t="str">
        <f>[3]Sheet1!B15</f>
        <v>4-11642</v>
      </c>
      <c r="H559" t="str">
        <f>[3]Sheet1!C15</f>
        <v>MESA AGITADORA ORBITAL MARCA DLAB MODELO SK-O330-PRO NUMERO DE SERIE SC239AR0000172 PROCEDENCIA CHINA</v>
      </c>
      <c r="I559" s="5" t="s">
        <v>132</v>
      </c>
    </row>
    <row r="560" spans="1:9" x14ac:dyDescent="0.25">
      <c r="A560" s="4">
        <f t="shared" si="8"/>
        <v>559</v>
      </c>
      <c r="B560" s="4" t="s">
        <v>12</v>
      </c>
      <c r="C560" t="str">
        <f>[3]Sheet1!$D$3</f>
        <v>KARLA LORENA CAMACHO BARBA</v>
      </c>
      <c r="E560" t="s">
        <v>133</v>
      </c>
      <c r="F560" t="s">
        <v>134</v>
      </c>
      <c r="G560" s="4" t="str">
        <f>[3]Sheet1!B16</f>
        <v>4-11496</v>
      </c>
      <c r="H560" t="str">
        <f>[3]Sheet1!C16</f>
        <v>EQUIPO PARA ENJUAGUE, LLENADO Y TAPADO DE BOTELLONES MARCA QMP MODELO QMP-M3-LA NUMERO DE SERIE QMP202208 PROCEDENCIA NACIONAL</v>
      </c>
      <c r="I560" s="5" t="s">
        <v>132</v>
      </c>
    </row>
    <row r="561" spans="1:9" x14ac:dyDescent="0.25">
      <c r="A561" s="4">
        <f t="shared" si="8"/>
        <v>560</v>
      </c>
      <c r="B561" s="4" t="s">
        <v>12</v>
      </c>
      <c r="C561" t="str">
        <f>[3]Sheet1!$D$3</f>
        <v>KARLA LORENA CAMACHO BARBA</v>
      </c>
      <c r="E561" t="s">
        <v>133</v>
      </c>
      <c r="F561" t="s">
        <v>134</v>
      </c>
      <c r="G561" s="4" t="str">
        <f>[3]Sheet1!B17</f>
        <v>4-011386</v>
      </c>
      <c r="H561" t="str">
        <f>[3]Sheet1!C17</f>
        <v>ANALIZADOR INFRARROJO CERCANO POR TRANSMISION PARA GRANOS, SEMILLAS Y HARINAS MARCA INFRACOT MODELO SGRAIN PROCEDENCIA BULGARIA SERIE 7-23-0578-05</v>
      </c>
      <c r="I561" s="5" t="s">
        <v>132</v>
      </c>
    </row>
    <row r="562" spans="1:9" x14ac:dyDescent="0.25">
      <c r="A562" s="4">
        <f t="shared" si="8"/>
        <v>561</v>
      </c>
      <c r="B562" s="4" t="s">
        <v>12</v>
      </c>
      <c r="C562" t="str">
        <f>[3]Sheet1!$D$3</f>
        <v>KARLA LORENA CAMACHO BARBA</v>
      </c>
      <c r="E562" t="s">
        <v>133</v>
      </c>
      <c r="F562" t="s">
        <v>134</v>
      </c>
      <c r="G562" s="4" t="str">
        <f>[3]Sheet1!B18</f>
        <v>4-011367</v>
      </c>
      <c r="H562" t="str">
        <f>[3]Sheet1!C18</f>
        <v>EQUIPO ANALIZADOR DE MISIONES MARCA CEYTRON MODELO NOVO 4S PROCEDENCIA USA SERIE 81002874</v>
      </c>
      <c r="I562" s="5" t="s">
        <v>132</v>
      </c>
    </row>
    <row r="563" spans="1:9" x14ac:dyDescent="0.25">
      <c r="A563" s="4">
        <f t="shared" si="8"/>
        <v>562</v>
      </c>
      <c r="B563" s="4" t="s">
        <v>12</v>
      </c>
      <c r="C563" t="str">
        <f>[3]Sheet1!$D$3</f>
        <v>KARLA LORENA CAMACHO BARBA</v>
      </c>
      <c r="E563" t="s">
        <v>133</v>
      </c>
      <c r="F563" t="s">
        <v>134</v>
      </c>
      <c r="G563" s="4" t="str">
        <f>[3]Sheet1!B19</f>
        <v>4-011364</v>
      </c>
      <c r="H563" t="str">
        <f>[3]Sheet1!C19</f>
        <v>ANALIZADOR DE TEMPERATURA DE BULBO HUMEDO Y GLOBOTERMOMETRO MARCA DELTAOHM MODELO HD32.3TC PROCEDENCIA ITALIA SERIE 23016180</v>
      </c>
      <c r="I563" s="5" t="s">
        <v>132</v>
      </c>
    </row>
    <row r="564" spans="1:9" x14ac:dyDescent="0.25">
      <c r="A564" s="4">
        <f t="shared" si="8"/>
        <v>563</v>
      </c>
      <c r="B564" s="4" t="s">
        <v>12</v>
      </c>
      <c r="C564" t="str">
        <f>[3]Sheet1!$D$3</f>
        <v>KARLA LORENA CAMACHO BARBA</v>
      </c>
      <c r="E564" t="s">
        <v>133</v>
      </c>
      <c r="F564" t="s">
        <v>134</v>
      </c>
      <c r="G564" s="4" t="str">
        <f>[3]Sheet1!B20</f>
        <v>4-011361</v>
      </c>
      <c r="H564" t="str">
        <f>[3]Sheet1!C20</f>
        <v>KIT DE SIMULACION 5S MARCA TIENDALEAN MODELO J04 NUMERO DE PROCEDENCIA ESPANA SERIE TLS50410231</v>
      </c>
      <c r="I564" s="5" t="s">
        <v>132</v>
      </c>
    </row>
    <row r="565" spans="1:9" x14ac:dyDescent="0.25">
      <c r="A565" s="4">
        <f t="shared" si="8"/>
        <v>564</v>
      </c>
      <c r="B565" s="4" t="s">
        <v>12</v>
      </c>
      <c r="C565" t="str">
        <f>[3]Sheet1!$D$3</f>
        <v>KARLA LORENA CAMACHO BARBA</v>
      </c>
      <c r="E565" t="s">
        <v>133</v>
      </c>
      <c r="F565" t="s">
        <v>134</v>
      </c>
      <c r="G565" s="4" t="str">
        <f>[3]Sheet1!B21</f>
        <v>4-011360</v>
      </c>
      <c r="H565" t="str">
        <f>[3]Sheet1!C21</f>
        <v>KIT DE SIMULACION 5S MARCA TIENDALEAN MODELO J04 NUMERO DE PROCEDENCIA ESPANA SERIE TLS50410230</v>
      </c>
      <c r="I565" s="5" t="s">
        <v>132</v>
      </c>
    </row>
    <row r="566" spans="1:9" x14ac:dyDescent="0.25">
      <c r="A566" s="4">
        <f t="shared" si="8"/>
        <v>565</v>
      </c>
      <c r="B566" s="4" t="s">
        <v>12</v>
      </c>
      <c r="C566" t="str">
        <f>[3]Sheet1!$D$3</f>
        <v>KARLA LORENA CAMACHO BARBA</v>
      </c>
      <c r="E566" t="s">
        <v>133</v>
      </c>
      <c r="F566" t="s">
        <v>134</v>
      </c>
      <c r="G566" s="4" t="str">
        <f>[3]Sheet1!B22</f>
        <v>4-011359</v>
      </c>
      <c r="H566" t="str">
        <f>[3]Sheet1!C22</f>
        <v>KIT DE SIMULACION DE MANUFACTURA ESBELTA MARCA LEANMAN MODELO FACTORY SIMULATION PROCEDENCIA REINO UNIDO SERIE FS-0345007</v>
      </c>
      <c r="I566" s="5" t="s">
        <v>132</v>
      </c>
    </row>
    <row r="567" spans="1:9" x14ac:dyDescent="0.25">
      <c r="A567" s="4">
        <f t="shared" si="8"/>
        <v>566</v>
      </c>
      <c r="B567" s="4" t="s">
        <v>12</v>
      </c>
      <c r="C567" t="str">
        <f>[3]Sheet1!$D$3</f>
        <v>KARLA LORENA CAMACHO BARBA</v>
      </c>
      <c r="E567" t="s">
        <v>133</v>
      </c>
      <c r="F567" t="s">
        <v>134</v>
      </c>
      <c r="G567" s="4" t="str">
        <f>[3]Sheet1!B23</f>
        <v>4-011358</v>
      </c>
      <c r="H567" t="str">
        <f>[3]Sheet1!C23</f>
        <v>KIT DE SIMULACION DE MANUFACTURA ESBELTA MARCA LEANMAN MODELO FACTORY SIMULATION PROCEDENCIA REINO UNIDO SERIE FS-0345006</v>
      </c>
      <c r="I567" s="5" t="s">
        <v>132</v>
      </c>
    </row>
    <row r="568" spans="1:9" x14ac:dyDescent="0.25">
      <c r="A568" s="4">
        <f t="shared" si="8"/>
        <v>567</v>
      </c>
      <c r="B568" s="4" t="s">
        <v>12</v>
      </c>
      <c r="C568" t="str">
        <f>[3]Sheet1!$D$3</f>
        <v>KARLA LORENA CAMACHO BARBA</v>
      </c>
      <c r="E568" t="s">
        <v>133</v>
      </c>
      <c r="F568" t="s">
        <v>134</v>
      </c>
      <c r="G568" s="4" t="str">
        <f>[3]Sheet1!B24</f>
        <v>4-09391</v>
      </c>
      <c r="H568" t="str">
        <f>[3]Sheet1!C24</f>
        <v>EMBUTIDORA MANUAL MARCA MAINCA MOD TP-5 S/N:F20500/L-FSB028254 PROCEDENCIA ESPANA CAPACIDAD 5 LITROS DE ACERO INOXIDABLE EMBUDOS DE 10 20 30 40 MM.</v>
      </c>
      <c r="I568" s="5" t="s">
        <v>132</v>
      </c>
    </row>
    <row r="569" spans="1:9" x14ac:dyDescent="0.25">
      <c r="A569" s="4">
        <f t="shared" si="8"/>
        <v>568</v>
      </c>
      <c r="B569" s="4" t="s">
        <v>12</v>
      </c>
      <c r="C569" t="str">
        <f>[3]Sheet1!$D$3</f>
        <v>KARLA LORENA CAMACHO BARBA</v>
      </c>
      <c r="E569" t="s">
        <v>133</v>
      </c>
      <c r="F569" t="s">
        <v>134</v>
      </c>
      <c r="G569" s="4" t="str">
        <f>[3]Sheet1!B25</f>
        <v>4-09390</v>
      </c>
      <c r="H569" t="str">
        <f>[3]Sheet1!C25</f>
        <v>EMBUTIDORA MANUAL MARCA MAINCA MOD TP-5 S/N:F20500/L-FSB028220 PROCEDENCIA ESPANA CAPACIDAD 5 LITROS DE ACERO INOXIDABLE EMBUDOS DE 10 20 30 40 MM.</v>
      </c>
      <c r="I569" s="5" t="s">
        <v>132</v>
      </c>
    </row>
    <row r="570" spans="1:9" x14ac:dyDescent="0.25">
      <c r="A570" s="4">
        <f t="shared" si="8"/>
        <v>569</v>
      </c>
      <c r="B570" s="4" t="s">
        <v>12</v>
      </c>
      <c r="C570" t="str">
        <f>[3]Sheet1!$D$3</f>
        <v>KARLA LORENA CAMACHO BARBA</v>
      </c>
      <c r="E570" t="s">
        <v>133</v>
      </c>
      <c r="F570" t="s">
        <v>134</v>
      </c>
      <c r="G570" s="4" t="str">
        <f>[3]Sheet1!B26</f>
        <v>4-09389</v>
      </c>
      <c r="H570" t="str">
        <f>[3]Sheet1!C26</f>
        <v>EMBUTIDORA MANUAL MARCA MAINCA MOD TP-5 S/N:F20500/L-FSB028217 PROCEDENCIA ESPANA CAPACIDAD 5 LITROS DE ACERO INOXIDABLE EMBUDOS DE 10 20 30 40 MM.</v>
      </c>
      <c r="I570" s="5" t="s">
        <v>132</v>
      </c>
    </row>
    <row r="571" spans="1:9" x14ac:dyDescent="0.25">
      <c r="A571" s="4">
        <f t="shared" si="8"/>
        <v>570</v>
      </c>
      <c r="B571" s="4" t="s">
        <v>12</v>
      </c>
      <c r="C571" t="str">
        <f>[3]Sheet1!$D$3</f>
        <v>KARLA LORENA CAMACHO BARBA</v>
      </c>
      <c r="E571" t="s">
        <v>133</v>
      </c>
      <c r="F571" t="s">
        <v>134</v>
      </c>
      <c r="G571" s="4" t="str">
        <f>[3]Sheet1!B27</f>
        <v>4-09392</v>
      </c>
      <c r="H571" t="str">
        <f>[3]Sheet1!C27</f>
        <v>EMBUTIDORA MANUAL MARCA MAINCA MOD TP-5 S/N:F20500/L-FSA031781 PROCEDENCIA ESPANA CAPACIDAD 5 LITROS DE ACERO INOXIDABLE EMBUDOS DE 10 20 30 40 MM.</v>
      </c>
      <c r="I571" s="5" t="s">
        <v>132</v>
      </c>
    </row>
    <row r="572" spans="1:9" x14ac:dyDescent="0.25">
      <c r="A572" s="4">
        <f t="shared" si="8"/>
        <v>571</v>
      </c>
      <c r="B572" s="4" t="s">
        <v>12</v>
      </c>
      <c r="C572" t="str">
        <f>[3]Sheet1!$D$3</f>
        <v>KARLA LORENA CAMACHO BARBA</v>
      </c>
      <c r="E572" t="s">
        <v>133</v>
      </c>
      <c r="F572" t="s">
        <v>134</v>
      </c>
      <c r="G572" s="4" t="str">
        <f>[3]Sheet1!B28</f>
        <v>4-011396</v>
      </c>
      <c r="H572" t="str">
        <f>[3]Sheet1!C28</f>
        <v>MACRO CENTRIFUGADORA MARCA DRAQELL MODELO TDZ5-WS PROCEDENCIA CHINA SERIE XX207XF324</v>
      </c>
      <c r="I572" s="5" t="s">
        <v>132</v>
      </c>
    </row>
    <row r="573" spans="1:9" x14ac:dyDescent="0.25">
      <c r="A573" s="4">
        <f t="shared" si="8"/>
        <v>572</v>
      </c>
      <c r="B573" s="4" t="s">
        <v>12</v>
      </c>
      <c r="C573" t="str">
        <f>[3]Sheet1!$D$3</f>
        <v>KARLA LORENA CAMACHO BARBA</v>
      </c>
      <c r="E573" t="s">
        <v>133</v>
      </c>
      <c r="F573" t="s">
        <v>134</v>
      </c>
      <c r="G573" s="4" t="str">
        <f>[3]Sheet1!B29</f>
        <v>4-11648</v>
      </c>
      <c r="H573" t="str">
        <f>[3]Sheet1!C29</f>
        <v>CENTRIFUGA MARCA DLAB MODELO DM0636 NUMERO DE SERIE LT239BC0000064 PROCEDENCIA CHINA</v>
      </c>
      <c r="I573" s="5" t="s">
        <v>132</v>
      </c>
    </row>
    <row r="574" spans="1:9" x14ac:dyDescent="0.25">
      <c r="A574" s="4">
        <f t="shared" si="8"/>
        <v>573</v>
      </c>
      <c r="B574" s="4" t="s">
        <v>12</v>
      </c>
      <c r="C574" t="str">
        <f>[3]Sheet1!$D$3</f>
        <v>KARLA LORENA CAMACHO BARBA</v>
      </c>
      <c r="E574" t="s">
        <v>133</v>
      </c>
      <c r="F574" t="s">
        <v>134</v>
      </c>
      <c r="G574" s="4" t="str">
        <f>[3]Sheet1!B30</f>
        <v>4-11640</v>
      </c>
      <c r="H574" t="str">
        <f>[3]Sheet1!C30</f>
        <v>BOMBA DE VACIO MARCA COMECTA MODELO N-86 NUMERO DE SERIE 215544552 PROCEDENCIA ESPANA</v>
      </c>
      <c r="I574" s="5" t="s">
        <v>132</v>
      </c>
    </row>
    <row r="575" spans="1:9" x14ac:dyDescent="0.25">
      <c r="A575" s="4">
        <f t="shared" si="8"/>
        <v>574</v>
      </c>
      <c r="B575" s="4" t="s">
        <v>12</v>
      </c>
      <c r="C575" t="str">
        <f>[3]Sheet1!$D$3</f>
        <v>KARLA LORENA CAMACHO BARBA</v>
      </c>
      <c r="E575" t="s">
        <v>133</v>
      </c>
      <c r="F575" t="s">
        <v>134</v>
      </c>
      <c r="G575" s="4" t="str">
        <f>[3]Sheet1!B31</f>
        <v>4-011394</v>
      </c>
      <c r="H575" t="str">
        <f>[3]Sheet1!C31</f>
        <v>DISPOSITIVO DE SEDIMENTACION MARCA ERKAYA MODELO ZL 120 PROCEDENCIA TURQUIA SERIE EN0070</v>
      </c>
      <c r="I575" s="5" t="s">
        <v>132</v>
      </c>
    </row>
    <row r="576" spans="1:9" x14ac:dyDescent="0.25">
      <c r="A576" s="4">
        <f t="shared" si="8"/>
        <v>575</v>
      </c>
      <c r="B576" s="4" t="s">
        <v>12</v>
      </c>
      <c r="C576" t="str">
        <f>[3]Sheet1!$D$3</f>
        <v>KARLA LORENA CAMACHO BARBA</v>
      </c>
      <c r="E576" t="s">
        <v>133</v>
      </c>
      <c r="F576" t="s">
        <v>134</v>
      </c>
      <c r="G576" s="4" t="str">
        <f>[3]Sheet1!B32</f>
        <v>4-11646</v>
      </c>
      <c r="H576" t="str">
        <f>[3]Sheet1!C32</f>
        <v>AGITADOR-VORTEX MARCA DLAB MODELO MX-S NUMERO DE SERIE VB232AS0008515 PROCEDENCIA CHINA</v>
      </c>
      <c r="I576" s="5" t="s">
        <v>132</v>
      </c>
    </row>
    <row r="577" spans="1:9" x14ac:dyDescent="0.25">
      <c r="A577" s="4">
        <f t="shared" si="8"/>
        <v>576</v>
      </c>
      <c r="B577" s="4" t="s">
        <v>12</v>
      </c>
      <c r="C577" t="str">
        <f>[3]Sheet1!$D$3</f>
        <v>KARLA LORENA CAMACHO BARBA</v>
      </c>
      <c r="E577" t="s">
        <v>133</v>
      </c>
      <c r="F577" t="s">
        <v>134</v>
      </c>
      <c r="G577" s="4" t="str">
        <f>[3]Sheet1!B33</f>
        <v>4-011378</v>
      </c>
      <c r="H577" t="str">
        <f>[3]Sheet1!C33</f>
        <v>AGITADOR MAGNETICO CON CALEFACCION MARCA DLAB MODELO MS7-H550-PRO PROCEDENCIA CHINA SERIE MN232BC002426</v>
      </c>
      <c r="I577" s="5" t="s">
        <v>132</v>
      </c>
    </row>
    <row r="578" spans="1:9" x14ac:dyDescent="0.25">
      <c r="A578" s="4">
        <f t="shared" si="8"/>
        <v>577</v>
      </c>
      <c r="B578" s="4" t="s">
        <v>12</v>
      </c>
      <c r="C578" t="str">
        <f>[3]Sheet1!$D$3</f>
        <v>KARLA LORENA CAMACHO BARBA</v>
      </c>
      <c r="E578" t="s">
        <v>133</v>
      </c>
      <c r="F578" t="s">
        <v>134</v>
      </c>
      <c r="G578" s="4" t="str">
        <f>[3]Sheet1!B34</f>
        <v>4-11644</v>
      </c>
      <c r="H578" t="str">
        <f>[3]Sheet1!C34</f>
        <v>AGITADOR MAGNETICO CON CALEFACCION MARCA DLAB MODELO MSS7-H550-PRO NUMERO DE SERIE MN227BC00002715 PROCEDENCIA CHINA</v>
      </c>
      <c r="I578" s="5" t="s">
        <v>132</v>
      </c>
    </row>
    <row r="579" spans="1:9" x14ac:dyDescent="0.25">
      <c r="A579" s="4">
        <f t="shared" si="8"/>
        <v>578</v>
      </c>
      <c r="B579" s="4" t="s">
        <v>12</v>
      </c>
      <c r="C579" t="str">
        <f>[3]Sheet1!$D$3</f>
        <v>KARLA LORENA CAMACHO BARBA</v>
      </c>
      <c r="E579" t="s">
        <v>133</v>
      </c>
      <c r="F579" t="s">
        <v>134</v>
      </c>
      <c r="G579" s="4" t="str">
        <f>[3]Sheet1!B35</f>
        <v>4-05830</v>
      </c>
      <c r="H579" t="str">
        <f>[3]Sheet1!C35</f>
        <v>AGITADOR P/PRUEBAS PILOTO HAMILTON (VELOCIDAD VARIABLE ALTA, MEDIA Y BAJA, 220VOLTS.)</v>
      </c>
      <c r="I579" s="5" t="s">
        <v>132</v>
      </c>
    </row>
    <row r="580" spans="1:9" x14ac:dyDescent="0.25">
      <c r="A580" s="4">
        <f t="shared" ref="A580:A643" si="9">A579+1</f>
        <v>579</v>
      </c>
      <c r="B580" s="4" t="s">
        <v>12</v>
      </c>
      <c r="C580" t="str">
        <f>[3]Sheet1!$D$3</f>
        <v>KARLA LORENA CAMACHO BARBA</v>
      </c>
      <c r="E580" t="s">
        <v>133</v>
      </c>
      <c r="F580" t="s">
        <v>134</v>
      </c>
      <c r="G580" s="4" t="str">
        <f>[3]Sheet1!B36</f>
        <v>4-011395</v>
      </c>
      <c r="H580" t="str">
        <f>[3]Sheet1!C36</f>
        <v>DISPOSITIVO DE AGITACION DE TAMIZ MARCA ERKAYA MODELO S200 PROCEDENCIA TURQUIA SERIE ES270</v>
      </c>
      <c r="I580" s="5" t="s">
        <v>132</v>
      </c>
    </row>
    <row r="581" spans="1:9" x14ac:dyDescent="0.25">
      <c r="A581" s="4">
        <f t="shared" si="9"/>
        <v>580</v>
      </c>
      <c r="B581" s="4" t="s">
        <v>12</v>
      </c>
      <c r="C581" t="str">
        <f>[3]Sheet1!$D$3</f>
        <v>KARLA LORENA CAMACHO BARBA</v>
      </c>
      <c r="E581" t="s">
        <v>133</v>
      </c>
      <c r="F581" t="s">
        <v>134</v>
      </c>
      <c r="G581" s="4" t="str">
        <f>[3]Sheet1!B37</f>
        <v>4-011406</v>
      </c>
      <c r="H581" t="str">
        <f>[3]Sheet1!C37</f>
        <v>MULTIPARAMETRICO MARCA HORIBA MODELO PH 1200 PROCEDENCIA JAPON SERIE MSIP-REMH1X-032F-74W-G</v>
      </c>
      <c r="I581" s="5" t="s">
        <v>132</v>
      </c>
    </row>
    <row r="582" spans="1:9" x14ac:dyDescent="0.25">
      <c r="A582" s="4">
        <f t="shared" si="9"/>
        <v>581</v>
      </c>
      <c r="B582" s="4" t="s">
        <v>12</v>
      </c>
      <c r="C582" t="str">
        <f>[3]Sheet1!$D$3</f>
        <v>KARLA LORENA CAMACHO BARBA</v>
      </c>
      <c r="E582" t="s">
        <v>133</v>
      </c>
      <c r="F582" t="s">
        <v>134</v>
      </c>
      <c r="G582" s="4" t="str">
        <f>[3]Sheet1!B38</f>
        <v>4-011400</v>
      </c>
      <c r="H582" t="str">
        <f>[3]Sheet1!C38</f>
        <v>TERMOMETRO DE PENETRACION MARCA TROTEC MODELO BT20 PROCEDENCIA ALEMANIA SERIE AGB22A3502</v>
      </c>
      <c r="I582" s="5" t="s">
        <v>132</v>
      </c>
    </row>
    <row r="583" spans="1:9" x14ac:dyDescent="0.25">
      <c r="A583" s="4">
        <f t="shared" si="9"/>
        <v>582</v>
      </c>
      <c r="B583" s="4" t="s">
        <v>12</v>
      </c>
      <c r="C583" t="str">
        <f>[3]Sheet1!$D$3</f>
        <v>KARLA LORENA CAMACHO BARBA</v>
      </c>
      <c r="E583" t="s">
        <v>133</v>
      </c>
      <c r="F583" t="s">
        <v>134</v>
      </c>
      <c r="G583" s="4" t="str">
        <f>[3]Sheet1!B39</f>
        <v>4-011402</v>
      </c>
      <c r="H583" t="str">
        <f>[3]Sheet1!C39</f>
        <v>TERMOMETRO DE PENETRACION MARCA TROTEC MODELO BT20 PROCEDENCIA ALEMANIA SERIE AGB22A3491</v>
      </c>
      <c r="I583" s="5" t="s">
        <v>132</v>
      </c>
    </row>
    <row r="584" spans="1:9" x14ac:dyDescent="0.25">
      <c r="A584" s="4">
        <f t="shared" si="9"/>
        <v>583</v>
      </c>
      <c r="B584" s="4" t="s">
        <v>12</v>
      </c>
      <c r="C584" t="str">
        <f>[3]Sheet1!$D$3</f>
        <v>KARLA LORENA CAMACHO BARBA</v>
      </c>
      <c r="E584" t="s">
        <v>133</v>
      </c>
      <c r="F584" t="s">
        <v>134</v>
      </c>
      <c r="G584" s="4" t="str">
        <f>[3]Sheet1!B40</f>
        <v>4-011405</v>
      </c>
      <c r="H584" t="str">
        <f>[3]Sheet1!C40</f>
        <v>TERMOMETRO INFRARROJO PARA ALIMENTOS MARCA TROTEC MODELO BP5F HERENCIA ALEMANIA SERIE 220400978</v>
      </c>
      <c r="I584" s="5" t="s">
        <v>132</v>
      </c>
    </row>
    <row r="585" spans="1:9" x14ac:dyDescent="0.25">
      <c r="A585" s="4">
        <f t="shared" si="9"/>
        <v>584</v>
      </c>
      <c r="B585" s="4" t="s">
        <v>12</v>
      </c>
      <c r="C585" t="str">
        <f>[3]Sheet1!$D$3</f>
        <v>KARLA LORENA CAMACHO BARBA</v>
      </c>
      <c r="E585" t="s">
        <v>133</v>
      </c>
      <c r="F585" t="s">
        <v>134</v>
      </c>
      <c r="G585" s="4" t="str">
        <f>[3]Sheet1!B41</f>
        <v>4-011404</v>
      </c>
      <c r="H585" t="str">
        <f>[3]Sheet1!C41</f>
        <v>TERMOMETRO INFRARROJO PARA ALIMENTOS MARCA TROTEC MODELO BP5F HERENCIA ALEMANIA SERIE 220400970</v>
      </c>
      <c r="I585" s="5" t="s">
        <v>132</v>
      </c>
    </row>
    <row r="586" spans="1:9" x14ac:dyDescent="0.25">
      <c r="A586" s="4">
        <f t="shared" si="9"/>
        <v>585</v>
      </c>
      <c r="B586" s="4" t="s">
        <v>12</v>
      </c>
      <c r="C586" t="str">
        <f>[3]Sheet1!$D$3</f>
        <v>KARLA LORENA CAMACHO BARBA</v>
      </c>
      <c r="E586" t="s">
        <v>133</v>
      </c>
      <c r="F586" t="s">
        <v>134</v>
      </c>
      <c r="G586" s="4" t="str">
        <f>[3]Sheet1!B42</f>
        <v>4-011399</v>
      </c>
      <c r="H586" t="str">
        <f>[3]Sheet1!C42</f>
        <v>TERMOMETRO DE PENETRACION MARCA TROTEC MODELO BT20 PROCEDENCIA ALEMANIA SERIE AGB22A3488</v>
      </c>
      <c r="I586" s="5" t="s">
        <v>132</v>
      </c>
    </row>
    <row r="587" spans="1:9" x14ac:dyDescent="0.25">
      <c r="A587" s="4">
        <f t="shared" si="9"/>
        <v>586</v>
      </c>
      <c r="B587" s="4" t="s">
        <v>12</v>
      </c>
      <c r="C587" t="str">
        <f>[3]Sheet1!$D$3</f>
        <v>KARLA LORENA CAMACHO BARBA</v>
      </c>
      <c r="E587" t="s">
        <v>133</v>
      </c>
      <c r="F587" t="s">
        <v>134</v>
      </c>
      <c r="G587" s="4" t="str">
        <f>[3]Sheet1!B43</f>
        <v>4-09400</v>
      </c>
      <c r="H587" t="str">
        <f>[3]Sheet1!C43</f>
        <v>AMASADORA ESPIRAL MARCA CATANIA MOD SH40 PROCEDENCIA CHINA CAPACIDAD MAXIMA DE HARINA 16 KG DE ACERO INOXIDABLE TEMPORIZADOR DE VELOCIDAD LENTO-RAPIDO</v>
      </c>
      <c r="I587" s="5" t="s">
        <v>132</v>
      </c>
    </row>
    <row r="588" spans="1:9" x14ac:dyDescent="0.25">
      <c r="A588" s="4">
        <f t="shared" si="9"/>
        <v>587</v>
      </c>
      <c r="B588" s="4" t="s">
        <v>12</v>
      </c>
      <c r="C588" t="str">
        <f>[3]Sheet1!$D$3</f>
        <v>KARLA LORENA CAMACHO BARBA</v>
      </c>
      <c r="E588" t="s">
        <v>133</v>
      </c>
      <c r="F588" t="s">
        <v>134</v>
      </c>
      <c r="G588" s="4" t="str">
        <f>[3]Sheet1!B44</f>
        <v>4-011377</v>
      </c>
      <c r="H588" t="str">
        <f>[3]Sheet1!C44</f>
        <v>ESPECTROFOTOMETRO UV/BIS DE DOBLE HAZ MARCA HANON MODELO I9 PROCEDENCIA CHINA SERIE G526210067A</v>
      </c>
      <c r="I588" s="5" t="s">
        <v>132</v>
      </c>
    </row>
    <row r="589" spans="1:9" x14ac:dyDescent="0.25">
      <c r="A589" s="4">
        <f t="shared" si="9"/>
        <v>588</v>
      </c>
      <c r="B589" s="4" t="s">
        <v>12</v>
      </c>
      <c r="C589" t="str">
        <f>[3]Sheet1!$D$3</f>
        <v>KARLA LORENA CAMACHO BARBA</v>
      </c>
      <c r="E589" t="s">
        <v>133</v>
      </c>
      <c r="F589" t="s">
        <v>134</v>
      </c>
      <c r="G589" s="4" t="str">
        <f>[3]Sheet1!B45</f>
        <v>4-011407</v>
      </c>
      <c r="H589" t="str">
        <f>[3]Sheet1!C45</f>
        <v>BANO MARIA MARCA JP SELECTA MODELO PRECISDIG PROCEDENCIA ESPANA SERIE 683653</v>
      </c>
      <c r="I589" s="5" t="s">
        <v>132</v>
      </c>
    </row>
    <row r="590" spans="1:9" x14ac:dyDescent="0.25">
      <c r="A590" s="4">
        <f t="shared" si="9"/>
        <v>589</v>
      </c>
      <c r="B590" s="4" t="s">
        <v>12</v>
      </c>
      <c r="C590" t="str">
        <f>[3]Sheet1!$D$3</f>
        <v>KARLA LORENA CAMACHO BARBA</v>
      </c>
      <c r="E590" t="s">
        <v>133</v>
      </c>
      <c r="F590" t="s">
        <v>134</v>
      </c>
      <c r="G590" s="4" t="str">
        <f>[3]Sheet1!B46</f>
        <v>4-11651</v>
      </c>
      <c r="H590" t="str">
        <f>[3]Sheet1!C46</f>
        <v>DESTILADOR DE NOTROGENO MARCA HANON MODELO K9840 NUMERO DE SERIE K4028270549 PROCEDENCIA CHINA</v>
      </c>
      <c r="I590" s="5" t="s">
        <v>132</v>
      </c>
    </row>
    <row r="591" spans="1:9" x14ac:dyDescent="0.25">
      <c r="A591" s="4">
        <f t="shared" si="9"/>
        <v>590</v>
      </c>
      <c r="B591" s="4" t="s">
        <v>12</v>
      </c>
      <c r="C591" t="str">
        <f>[3]Sheet1!$D$3</f>
        <v>KARLA LORENA CAMACHO BARBA</v>
      </c>
      <c r="E591" t="s">
        <v>133</v>
      </c>
      <c r="F591" t="s">
        <v>134</v>
      </c>
      <c r="G591" s="4" t="str">
        <f>[3]Sheet1!B47</f>
        <v>4-011391</v>
      </c>
      <c r="H591" t="str">
        <f>[3]Sheet1!C47</f>
        <v>DESTILADOR DE AGUA MARCA MOLEWATER MODELO MOLGENE 610D PROCEDENCIA CHINA SERIE 2023-6-321</v>
      </c>
      <c r="I591" s="5" t="s">
        <v>132</v>
      </c>
    </row>
    <row r="592" spans="1:9" x14ac:dyDescent="0.25">
      <c r="A592" s="4">
        <f t="shared" si="9"/>
        <v>591</v>
      </c>
      <c r="B592" s="4" t="s">
        <v>12</v>
      </c>
      <c r="C592" t="str">
        <f>[3]Sheet1!$D$3</f>
        <v>KARLA LORENA CAMACHO BARBA</v>
      </c>
      <c r="E592" t="s">
        <v>133</v>
      </c>
      <c r="F592" t="s">
        <v>134</v>
      </c>
      <c r="G592" s="4" t="str">
        <f>[3]Sheet1!B48</f>
        <v>4-09238</v>
      </c>
      <c r="H592" t="str">
        <f>[3]Sheet1!C48</f>
        <v>EQUIPO DE AIRE ACONDICIONADO TIPO DE 60000 BTU INVERTER MARCA COMFEE EVAPORADOR S/N: 2404216860179080160019 CONDENSADOR S/N: 2404216860279070160045</v>
      </c>
      <c r="I592" s="5" t="s">
        <v>132</v>
      </c>
    </row>
    <row r="593" spans="1:9" x14ac:dyDescent="0.25">
      <c r="A593" s="4">
        <f t="shared" si="9"/>
        <v>592</v>
      </c>
      <c r="B593" s="4" t="s">
        <v>12</v>
      </c>
      <c r="C593" t="str">
        <f>[3]Sheet1!$D$3</f>
        <v>KARLA LORENA CAMACHO BARBA</v>
      </c>
      <c r="E593" t="s">
        <v>133</v>
      </c>
      <c r="F593" t="s">
        <v>134</v>
      </c>
      <c r="G593" s="4" t="str">
        <f>[3]Sheet1!B49</f>
        <v>4-09219</v>
      </c>
      <c r="H593" t="str">
        <f>[3]Sheet1!C49</f>
        <v>EQUIPO DE AIRE ACONDICIONADO TIPO DE 60000 BTU INVERTER MARCA COMFEE EVAPORADOR S/N: 2404216860179080160010 CONDENSADOR S/N: 2404216860279070160003</v>
      </c>
      <c r="I593" s="5" t="s">
        <v>132</v>
      </c>
    </row>
    <row r="594" spans="1:9" x14ac:dyDescent="0.25">
      <c r="A594" s="4">
        <f t="shared" si="9"/>
        <v>593</v>
      </c>
      <c r="B594" s="4" t="s">
        <v>12</v>
      </c>
      <c r="C594" t="str">
        <f>[3]Sheet1!$D$3</f>
        <v>KARLA LORENA CAMACHO BARBA</v>
      </c>
      <c r="E594" t="s">
        <v>133</v>
      </c>
      <c r="F594" t="s">
        <v>134</v>
      </c>
      <c r="G594" s="4" t="str">
        <f>[3]Sheet1!B50</f>
        <v>4-011370</v>
      </c>
      <c r="H594" t="str">
        <f>[3]Sheet1!C50</f>
        <v>SISTEMA DE CALORIMETRO DE COMBUSTION MARCA BDS CALORIMETER MODELO CAL3K-S PROCEDENCIA SUDAFRICA SERIE 23000150</v>
      </c>
      <c r="I594" s="5" t="s">
        <v>132</v>
      </c>
    </row>
    <row r="595" spans="1:9" x14ac:dyDescent="0.25">
      <c r="A595" s="4">
        <f t="shared" si="9"/>
        <v>594</v>
      </c>
      <c r="B595" s="4" t="s">
        <v>12</v>
      </c>
      <c r="C595" t="str">
        <f>[3]Sheet1!$D$3</f>
        <v>KARLA LORENA CAMACHO BARBA</v>
      </c>
      <c r="E595" t="s">
        <v>133</v>
      </c>
      <c r="F595" t="s">
        <v>134</v>
      </c>
      <c r="G595" s="4" t="str">
        <f>[3]Sheet1!B51</f>
        <v>4-011388</v>
      </c>
      <c r="H595" t="str">
        <f>[3]Sheet1!C51</f>
        <v>ESTUFA INCUBADORA PARA CULTIVOS MARCA JP SELECTA MODELO INCUBAT PROCEDENCIA ESPANA SERIE 675591</v>
      </c>
      <c r="I595" s="5" t="s">
        <v>132</v>
      </c>
    </row>
    <row r="596" spans="1:9" x14ac:dyDescent="0.25">
      <c r="A596" s="4">
        <f t="shared" si="9"/>
        <v>595</v>
      </c>
      <c r="B596" s="4" t="s">
        <v>12</v>
      </c>
      <c r="C596" t="str">
        <f>[3]Sheet1!$D$3</f>
        <v>KARLA LORENA CAMACHO BARBA</v>
      </c>
      <c r="E596" t="s">
        <v>133</v>
      </c>
      <c r="F596" t="s">
        <v>134</v>
      </c>
      <c r="G596" s="4" t="str">
        <f>[3]Sheet1!B52</f>
        <v>4-11632</v>
      </c>
      <c r="H596" t="str">
        <f>[3]Sheet1!C52</f>
        <v>ESTUFA DE SECADO Y ESTERELIZACION MARCA JP SELECTA MODELO DIGITHEAT-TFT S/N 680092 PROCEDENCIA ESPANA</v>
      </c>
      <c r="I596" s="5" t="s">
        <v>132</v>
      </c>
    </row>
    <row r="597" spans="1:9" x14ac:dyDescent="0.25">
      <c r="A597" s="4">
        <f t="shared" si="9"/>
        <v>596</v>
      </c>
      <c r="B597" s="4" t="s">
        <v>12</v>
      </c>
      <c r="C597" t="str">
        <f>[3]Sheet1!$D$3</f>
        <v>KARLA LORENA CAMACHO BARBA</v>
      </c>
      <c r="E597" t="s">
        <v>133</v>
      </c>
      <c r="F597" t="s">
        <v>134</v>
      </c>
      <c r="G597" s="4" t="str">
        <f>[3]Sheet1!B53</f>
        <v>4-011385</v>
      </c>
      <c r="H597" t="str">
        <f>[3]Sheet1!C53</f>
        <v>ESTUFA DE SECADO Y ESTERILIZACION MARCA JP SELECTA MODELO CONTERM PROCEDENCIA ESPANA SERIE 681051</v>
      </c>
      <c r="I597" s="5" t="s">
        <v>132</v>
      </c>
    </row>
    <row r="598" spans="1:9" x14ac:dyDescent="0.25">
      <c r="A598" s="4">
        <f t="shared" si="9"/>
        <v>597</v>
      </c>
      <c r="B598" s="4" t="s">
        <v>12</v>
      </c>
      <c r="C598" t="str">
        <f>[3]Sheet1!$D$3</f>
        <v>KARLA LORENA CAMACHO BARBA</v>
      </c>
      <c r="E598" t="s">
        <v>133</v>
      </c>
      <c r="F598" t="s">
        <v>134</v>
      </c>
      <c r="G598" s="4" t="str">
        <f>[3]Sheet1!B54</f>
        <v>4-011365</v>
      </c>
      <c r="H598" t="str">
        <f>[3]Sheet1!C54</f>
        <v>ANEMOMETRO MARCA TROTEC MODELO BA16WP PROCEDENCIA ALEMANIA SERIE 22081558</v>
      </c>
      <c r="I598" s="5" t="s">
        <v>132</v>
      </c>
    </row>
    <row r="599" spans="1:9" x14ac:dyDescent="0.25">
      <c r="A599" s="4">
        <f t="shared" si="9"/>
        <v>598</v>
      </c>
      <c r="B599" s="4" t="s">
        <v>12</v>
      </c>
      <c r="C599" t="str">
        <f>[3]Sheet1!$D$3</f>
        <v>KARLA LORENA CAMACHO BARBA</v>
      </c>
      <c r="E599" t="s">
        <v>133</v>
      </c>
      <c r="F599" t="s">
        <v>134</v>
      </c>
      <c r="G599" s="4" t="str">
        <f>[3]Sheet1!B55</f>
        <v>4-011376</v>
      </c>
      <c r="H599" t="str">
        <f>[3]Sheet1!C55</f>
        <v>BALANZA DE PRECISION MARCA RADWAG MODELO PS4500.X2. M PROCEDENCIA POLONIA SERIE 763572</v>
      </c>
      <c r="I599" s="5" t="s">
        <v>132</v>
      </c>
    </row>
    <row r="600" spans="1:9" x14ac:dyDescent="0.25">
      <c r="A600" s="4">
        <f t="shared" si="9"/>
        <v>599</v>
      </c>
      <c r="B600" s="4" t="s">
        <v>12</v>
      </c>
      <c r="C600" t="str">
        <f>[3]Sheet1!$D$3</f>
        <v>KARLA LORENA CAMACHO BARBA</v>
      </c>
      <c r="E600" t="s">
        <v>133</v>
      </c>
      <c r="F600" t="s">
        <v>134</v>
      </c>
      <c r="G600" s="4" t="str">
        <f>[3]Sheet1!B56</f>
        <v>4-011374</v>
      </c>
      <c r="H600" t="str">
        <f>[3]Sheet1!C56</f>
        <v>BALANZA ANALITICA 0.1 MG MARCA RADWAG MODELO A S 310.R2 PLUS PROCEDENCIA POLONIA SERIE 747154</v>
      </c>
      <c r="I600" s="5" t="s">
        <v>132</v>
      </c>
    </row>
    <row r="601" spans="1:9" x14ac:dyDescent="0.25">
      <c r="A601" s="4">
        <f t="shared" si="9"/>
        <v>600</v>
      </c>
      <c r="B601" s="4" t="s">
        <v>12</v>
      </c>
      <c r="C601" t="str">
        <f>[3]Sheet1!$D$3</f>
        <v>KARLA LORENA CAMACHO BARBA</v>
      </c>
      <c r="E601" t="s">
        <v>133</v>
      </c>
      <c r="F601" t="s">
        <v>134</v>
      </c>
      <c r="G601" s="4" t="str">
        <f>[3]Sheet1!B57</f>
        <v>4-011373</v>
      </c>
      <c r="H601" t="str">
        <f>[3]Sheet1!C57</f>
        <v>BALANZA ANALITICA 0.1 MG MARCA RADWAG MODELO A S 310.R2 PLUS PROCEDENCIA POLONIA SERIE 747147</v>
      </c>
      <c r="I601" s="5" t="s">
        <v>132</v>
      </c>
    </row>
    <row r="602" spans="1:9" x14ac:dyDescent="0.25">
      <c r="A602" s="4">
        <f t="shared" si="9"/>
        <v>601</v>
      </c>
      <c r="B602" s="4" t="s">
        <v>12</v>
      </c>
      <c r="C602" t="str">
        <f>[3]Sheet1!$D$3</f>
        <v>KARLA LORENA CAMACHO BARBA</v>
      </c>
      <c r="E602" t="s">
        <v>133</v>
      </c>
      <c r="F602" t="s">
        <v>134</v>
      </c>
      <c r="G602" s="4" t="str">
        <f>[3]Sheet1!B58</f>
        <v>4-011412</v>
      </c>
      <c r="H602" t="str">
        <f>[3]Sheet1!C58</f>
        <v>BALANZA ANALITICA MODELO RADWAG MODELO AS 310.R2.PLUS PROCEDENCIA POLONIA SERIE 747152</v>
      </c>
      <c r="I602" s="5" t="s">
        <v>132</v>
      </c>
    </row>
    <row r="603" spans="1:9" x14ac:dyDescent="0.25">
      <c r="A603" s="4">
        <f t="shared" si="9"/>
        <v>602</v>
      </c>
      <c r="B603" s="4" t="s">
        <v>12</v>
      </c>
      <c r="C603" t="str">
        <f>[3]Sheet1!$D$3</f>
        <v>KARLA LORENA CAMACHO BARBA</v>
      </c>
      <c r="E603" t="s">
        <v>133</v>
      </c>
      <c r="F603" t="s">
        <v>134</v>
      </c>
      <c r="G603" s="4" t="str">
        <f>[3]Sheet1!B59</f>
        <v>4-11635</v>
      </c>
      <c r="H603" t="str">
        <f>[3]Sheet1!C59</f>
        <v>BALANZA ANALITICA PROFESIONAL MARCA RADWAG MODELO AS 520,X2 PLUS S/N 766241 PROCEDENCIA POLONIA</v>
      </c>
      <c r="I603" s="5" t="s">
        <v>132</v>
      </c>
    </row>
    <row r="604" spans="1:9" x14ac:dyDescent="0.25">
      <c r="A604" s="4">
        <f t="shared" si="9"/>
        <v>603</v>
      </c>
      <c r="B604" s="4" t="s">
        <v>12</v>
      </c>
      <c r="C604" t="str">
        <f>[3]Sheet1!$D$3</f>
        <v>KARLA LORENA CAMACHO BARBA</v>
      </c>
      <c r="E604" t="s">
        <v>133</v>
      </c>
      <c r="F604" t="s">
        <v>134</v>
      </c>
      <c r="G604" s="4" t="str">
        <f>[3]Sheet1!B60</f>
        <v>4-011414</v>
      </c>
      <c r="H604" t="str">
        <f>[3]Sheet1!C60</f>
        <v>BALANZA DE PRECISION DE 10 KG X 0,1G PARA INDUSTRIA ALIMENTARIA MARCA RADWAG MODELO WLC 30/F1/R PROCEDENCIA POLONIA SERIE 540950</v>
      </c>
      <c r="I604" s="5" t="s">
        <v>132</v>
      </c>
    </row>
    <row r="605" spans="1:9" x14ac:dyDescent="0.25">
      <c r="A605" s="4">
        <f t="shared" si="9"/>
        <v>604</v>
      </c>
      <c r="B605" s="4" t="s">
        <v>12</v>
      </c>
      <c r="C605" t="str">
        <f>[3]Sheet1!$D$3</f>
        <v>KARLA LORENA CAMACHO BARBA</v>
      </c>
      <c r="E605" t="s">
        <v>133</v>
      </c>
      <c r="F605" t="s">
        <v>134</v>
      </c>
      <c r="G605" s="4" t="str">
        <f>[3]Sheet1!B61</f>
        <v>4-011413</v>
      </c>
      <c r="H605" t="str">
        <f>[3]Sheet1!C61</f>
        <v>BALANZA DE PRECISION DE 30 KG X 0,5G PARA INDUSTRIA ALIMENTARIA MARCA RADWAG MODELO WLC 30/F1/R PROCEDENCIA POLONIA SERIE 771938</v>
      </c>
      <c r="I605" s="5" t="s">
        <v>132</v>
      </c>
    </row>
    <row r="606" spans="1:9" x14ac:dyDescent="0.25">
      <c r="A606" s="4">
        <f t="shared" si="9"/>
        <v>605</v>
      </c>
      <c r="B606" s="4" t="s">
        <v>12</v>
      </c>
      <c r="C606" t="str">
        <f>[3]Sheet1!$D$3</f>
        <v>KARLA LORENA CAMACHO BARBA</v>
      </c>
      <c r="E606" t="s">
        <v>133</v>
      </c>
      <c r="F606" t="s">
        <v>134</v>
      </c>
      <c r="G606" s="4" t="str">
        <f>[3]Sheet1!B62</f>
        <v>4-11637</v>
      </c>
      <c r="H606" t="str">
        <f>[3]Sheet1!C62</f>
        <v>BALANZA DE PRECISION MARCA RADWAG MODELO PS,4500.X2.M S/N 783757 PROCEDENCIA POLONIA</v>
      </c>
      <c r="I606" s="5" t="s">
        <v>132</v>
      </c>
    </row>
    <row r="607" spans="1:9" x14ac:dyDescent="0.25">
      <c r="A607" s="4">
        <f t="shared" si="9"/>
        <v>606</v>
      </c>
      <c r="B607" s="4" t="s">
        <v>12</v>
      </c>
      <c r="C607" t="str">
        <f>[3]Sheet1!$D$3</f>
        <v>KARLA LORENA CAMACHO BARBA</v>
      </c>
      <c r="E607" t="s">
        <v>133</v>
      </c>
      <c r="F607" t="s">
        <v>134</v>
      </c>
      <c r="G607" s="4" t="str">
        <f>[3]Sheet1!B63</f>
        <v>4-011383</v>
      </c>
      <c r="H607" t="str">
        <f>[3]Sheet1!C63</f>
        <v>EXTRACTOR DE ACEITES ESENCIALES MARCA FIGMAY MODELO 6LITROS PROCEDENCIA ARGENTINA SERIE EXT-LF-0010123</v>
      </c>
      <c r="I607" s="5" t="s">
        <v>132</v>
      </c>
    </row>
    <row r="608" spans="1:9" x14ac:dyDescent="0.25">
      <c r="A608" s="4">
        <f t="shared" si="9"/>
        <v>607</v>
      </c>
      <c r="B608" s="4" t="s">
        <v>12</v>
      </c>
      <c r="C608" t="str">
        <f>[3]Sheet1!$D$3</f>
        <v>KARLA LORENA CAMACHO BARBA</v>
      </c>
      <c r="E608" t="s">
        <v>133</v>
      </c>
      <c r="F608" t="s">
        <v>134</v>
      </c>
      <c r="G608" s="4" t="str">
        <f>[3]Sheet1!B64</f>
        <v>4-011362</v>
      </c>
      <c r="H608" t="str">
        <f>[3]Sheet1!C64</f>
        <v>SENOMETRO PROFESIONAL DE CLASE 2 MARCA DELTAO HM MODELO HD2010UC/A PROCEDENCIA ITALIA SERIE 23092957079</v>
      </c>
      <c r="I608" s="5" t="s">
        <v>132</v>
      </c>
    </row>
    <row r="609" spans="1:9" x14ac:dyDescent="0.25">
      <c r="A609" s="4">
        <f t="shared" si="9"/>
        <v>608</v>
      </c>
      <c r="B609" s="4" t="s">
        <v>12</v>
      </c>
      <c r="C609" t="str">
        <f>[3]Sheet1!$D$3</f>
        <v>KARLA LORENA CAMACHO BARBA</v>
      </c>
      <c r="E609" t="s">
        <v>133</v>
      </c>
      <c r="F609" t="s">
        <v>134</v>
      </c>
      <c r="G609" s="4" t="str">
        <f>[3]Sheet1!B65</f>
        <v>4-09642</v>
      </c>
      <c r="H609" t="str">
        <f>[3]Sheet1!C65</f>
        <v>PLANTA DE TRATAMIENTO DE AGUA 700L/D MARCA HIDROTEX</v>
      </c>
      <c r="I609" s="5" t="s">
        <v>132</v>
      </c>
    </row>
    <row r="610" spans="1:9" x14ac:dyDescent="0.25">
      <c r="A610" s="4">
        <f t="shared" si="9"/>
        <v>609</v>
      </c>
      <c r="B610" s="4" t="s">
        <v>12</v>
      </c>
      <c r="C610" t="str">
        <f>[3]Sheet1!$D$3</f>
        <v>KARLA LORENA CAMACHO BARBA</v>
      </c>
      <c r="E610" t="s">
        <v>133</v>
      </c>
      <c r="F610" t="s">
        <v>134</v>
      </c>
      <c r="G610" s="4" t="str">
        <f>[3]Sheet1!B66</f>
        <v>4-11639</v>
      </c>
      <c r="H610" t="str">
        <f>[3]Sheet1!C66</f>
        <v>DISPENSADOR DE ACIDOS 10-100 ML MARCA DLAB MODELO DISPENSMATE-PRO NUMERO DE SERIE GB211AD0000575 PROCEDENCIA CHINA</v>
      </c>
      <c r="I610" s="5" t="s">
        <v>132</v>
      </c>
    </row>
    <row r="611" spans="1:9" x14ac:dyDescent="0.25">
      <c r="A611" s="4">
        <f t="shared" si="9"/>
        <v>610</v>
      </c>
      <c r="B611" s="4" t="s">
        <v>12</v>
      </c>
      <c r="C611" t="str">
        <f>[3]Sheet1!$D$3</f>
        <v>KARLA LORENA CAMACHO BARBA</v>
      </c>
      <c r="E611" t="s">
        <v>133</v>
      </c>
      <c r="F611" t="s">
        <v>134</v>
      </c>
      <c r="G611" s="4" t="str">
        <f>[3]Sheet1!B67</f>
        <v>4-09399</v>
      </c>
      <c r="H611" t="str">
        <f>[3]Sheet1!C67</f>
        <v>MARMITA DE LABORATORIO MARCA COMEX MOD 20 L DE ACERO INOXIDABLE CAPACIDAD 20 LITROS SISTEMA DE CALENTAMIENTO A GAS CON SOPLETES</v>
      </c>
      <c r="I611" s="5" t="s">
        <v>132</v>
      </c>
    </row>
    <row r="612" spans="1:9" x14ac:dyDescent="0.25">
      <c r="A612" s="4">
        <f t="shared" si="9"/>
        <v>611</v>
      </c>
      <c r="B612" s="4" t="s">
        <v>12</v>
      </c>
      <c r="C612" t="str">
        <f>[3]Sheet1!$D$3</f>
        <v>KARLA LORENA CAMACHO BARBA</v>
      </c>
      <c r="E612" t="s">
        <v>133</v>
      </c>
      <c r="F612" t="s">
        <v>134</v>
      </c>
      <c r="G612" s="4" t="str">
        <f>[3]Sheet1!B68</f>
        <v>4-11650</v>
      </c>
      <c r="H612" t="str">
        <f>[3]Sheet1!C68</f>
        <v>SISTEMA DE DIGESTION-BLOQUE DIGESTOR MARCA HANON MODELO SH420F NUMERO DE SERIE SH528280216 PROCEDENCIA CHINA</v>
      </c>
      <c r="I612" s="5" t="s">
        <v>132</v>
      </c>
    </row>
    <row r="613" spans="1:9" x14ac:dyDescent="0.25">
      <c r="A613" s="4">
        <f t="shared" si="9"/>
        <v>612</v>
      </c>
      <c r="B613" s="4" t="s">
        <v>12</v>
      </c>
      <c r="C613" t="str">
        <f>[3]Sheet1!$D$3</f>
        <v>KARLA LORENA CAMACHO BARBA</v>
      </c>
      <c r="E613" t="s">
        <v>133</v>
      </c>
      <c r="F613" t="s">
        <v>134</v>
      </c>
      <c r="G613" s="4" t="str">
        <f>[3]Sheet1!B69</f>
        <v>4-11638</v>
      </c>
      <c r="H613" t="str">
        <f>[3]Sheet1!C69</f>
        <v>PURIFICADOR DE AGUA MARCA HYDROLAB MODELO 10 PLUS S/N HT102308577331125 PLUS PROCEDENCIA POLONIA</v>
      </c>
      <c r="I613" s="5" t="s">
        <v>132</v>
      </c>
    </row>
    <row r="614" spans="1:9" x14ac:dyDescent="0.25">
      <c r="A614" s="4">
        <f t="shared" si="9"/>
        <v>613</v>
      </c>
      <c r="B614" s="4" t="s">
        <v>12</v>
      </c>
      <c r="C614" t="str">
        <f>[3]Sheet1!$D$3</f>
        <v>KARLA LORENA CAMACHO BARBA</v>
      </c>
      <c r="E614" t="s">
        <v>133</v>
      </c>
      <c r="F614" t="s">
        <v>134</v>
      </c>
      <c r="G614" s="4" t="str">
        <f>[3]Sheet1!B70</f>
        <v>4-11494</v>
      </c>
      <c r="H614" t="str">
        <f>[3]Sheet1!C70</f>
        <v>LINEA DE PURIFICACION DE AGUA MARCA INDSOL MODELO RO-3L NUMERO DE SERIE IN2203 PROCEDENCIA NACIONAL</v>
      </c>
      <c r="I614" s="5" t="s">
        <v>132</v>
      </c>
    </row>
    <row r="615" spans="1:9" x14ac:dyDescent="0.25">
      <c r="A615" s="4">
        <f t="shared" si="9"/>
        <v>614</v>
      </c>
      <c r="B615" s="4" t="s">
        <v>12</v>
      </c>
      <c r="C615" t="str">
        <f>[3]Sheet1!$D$3</f>
        <v>KARLA LORENA CAMACHO BARBA</v>
      </c>
      <c r="E615" t="s">
        <v>133</v>
      </c>
      <c r="F615" t="s">
        <v>134</v>
      </c>
      <c r="G615" s="4" t="str">
        <f>[3]Sheet1!B71</f>
        <v>4-11497</v>
      </c>
      <c r="H615" t="str">
        <f>[3]Sheet1!C71</f>
        <v>COMPROBADOR DE CALIDAD DE AGUA MULTIPARAMETROS MARCA HORIBA MODELO U52 NUMERO DE SERIE L8XGHPOB PROCEDENCIA JAPON</v>
      </c>
      <c r="I615" s="5" t="s">
        <v>132</v>
      </c>
    </row>
    <row r="616" spans="1:9" x14ac:dyDescent="0.25">
      <c r="A616" s="4">
        <f t="shared" si="9"/>
        <v>615</v>
      </c>
      <c r="B616" s="4" t="s">
        <v>12</v>
      </c>
      <c r="C616" t="str">
        <f>[3]Sheet1!$D$3</f>
        <v>KARLA LORENA CAMACHO BARBA</v>
      </c>
      <c r="E616" t="s">
        <v>133</v>
      </c>
      <c r="F616" t="s">
        <v>134</v>
      </c>
      <c r="G616" s="4" t="str">
        <f>[3]Sheet1!B72</f>
        <v>4-011384</v>
      </c>
      <c r="H616" t="str">
        <f>[3]Sheet1!C72</f>
        <v>ROTAEVAPORADOR MARCA YAMATO MODELO RE-801 PROCEDENCIA JAPON SERIE 65900026</v>
      </c>
      <c r="I616" s="5" t="s">
        <v>132</v>
      </c>
    </row>
    <row r="617" spans="1:9" x14ac:dyDescent="0.25">
      <c r="A617" s="4">
        <f t="shared" si="9"/>
        <v>616</v>
      </c>
      <c r="B617" s="4" t="s">
        <v>12</v>
      </c>
      <c r="C617" t="str">
        <f>[3]Sheet1!$D$3</f>
        <v>KARLA LORENA CAMACHO BARBA</v>
      </c>
      <c r="E617" t="s">
        <v>133</v>
      </c>
      <c r="F617" t="s">
        <v>134</v>
      </c>
      <c r="G617" s="4" t="str">
        <f>[3]Sheet1!B73</f>
        <v>4-09388</v>
      </c>
      <c r="H617" t="str">
        <f>[3]Sheet1!C73</f>
        <v>MOLINO DE CARNE MARCA MAINCA, MODELO PM-70 SERIEPM70183910 PROCEDENCIA ESPANA ACERO INOXIDABLE 18/10, PRODUCCION DE 170 KG/H</v>
      </c>
      <c r="I617" s="5" t="s">
        <v>132</v>
      </c>
    </row>
    <row r="618" spans="1:9" x14ac:dyDescent="0.25">
      <c r="A618" s="4">
        <f t="shared" si="9"/>
        <v>617</v>
      </c>
      <c r="B618" s="4" t="s">
        <v>12</v>
      </c>
      <c r="C618" t="str">
        <f>[3]Sheet1!$D$3</f>
        <v>KARLA LORENA CAMACHO BARBA</v>
      </c>
      <c r="E618" t="s">
        <v>133</v>
      </c>
      <c r="F618" t="s">
        <v>134</v>
      </c>
      <c r="G618" s="4" t="str">
        <f>[3]Sheet1!B74</f>
        <v>4-011393</v>
      </c>
      <c r="H618" t="str">
        <f>[3]Sheet1!C74</f>
        <v>MOLINO DE LABORATORIO TIPO MARTILLO MARCA ERKAYA MODELO HM 210 PROCEDENCIA TURQUIA SERIE HB 153</v>
      </c>
      <c r="I618" s="5" t="s">
        <v>132</v>
      </c>
    </row>
    <row r="619" spans="1:9" x14ac:dyDescent="0.25">
      <c r="A619" s="4">
        <f t="shared" si="9"/>
        <v>618</v>
      </c>
      <c r="B619" s="4" t="s">
        <v>12</v>
      </c>
      <c r="C619" t="str">
        <f>[3]Sheet1!$D$3</f>
        <v>KARLA LORENA CAMACHO BARBA</v>
      </c>
      <c r="E619" t="s">
        <v>133</v>
      </c>
      <c r="F619" t="s">
        <v>134</v>
      </c>
      <c r="G619" s="4" t="str">
        <f>[3]Sheet1!B75</f>
        <v>4-011392</v>
      </c>
      <c r="H619" t="str">
        <f>[3]Sheet1!C75</f>
        <v>MOLINO DE LABORATORIO TIPO RODILLO MARCA ERKAYA MODELO RM 1300 PROCEDENCIA TURQUIA SERIE C 305</v>
      </c>
      <c r="I619" s="5" t="s">
        <v>132</v>
      </c>
    </row>
    <row r="620" spans="1:9" x14ac:dyDescent="0.25">
      <c r="A620" s="4">
        <f t="shared" si="9"/>
        <v>619</v>
      </c>
      <c r="B620" s="4" t="s">
        <v>12</v>
      </c>
      <c r="C620" t="str">
        <f>[3]Sheet1!$D$3</f>
        <v>KARLA LORENA CAMACHO BARBA</v>
      </c>
      <c r="E620" t="s">
        <v>133</v>
      </c>
      <c r="F620" t="s">
        <v>134</v>
      </c>
      <c r="G620" s="4" t="str">
        <f>[3]Sheet1!B76</f>
        <v>4-11495</v>
      </c>
      <c r="H620" t="str">
        <f>[3]Sheet1!C76</f>
        <v>LAVADOR DE BOTELLONES MARCA MECADBOL MODELO BOX 5000 T NUMERO DE SERIE MB512023 PROCEDENCIA NACIONAL</v>
      </c>
      <c r="I620" s="5" t="s">
        <v>132</v>
      </c>
    </row>
    <row r="621" spans="1:9" x14ac:dyDescent="0.25">
      <c r="A621" s="4">
        <f t="shared" si="9"/>
        <v>620</v>
      </c>
      <c r="B621" s="4" t="s">
        <v>12</v>
      </c>
      <c r="C621" t="str">
        <f>[3]Sheet1!$D$3</f>
        <v>KARLA LORENA CAMACHO BARBA</v>
      </c>
      <c r="E621" t="s">
        <v>133</v>
      </c>
      <c r="F621" t="s">
        <v>134</v>
      </c>
      <c r="G621" s="4" t="str">
        <f>[3]Sheet1!B77</f>
        <v>4-09857</v>
      </c>
      <c r="H621" t="str">
        <f>[3]Sheet1!C77</f>
        <v>MONITOR MARCA LG MODELO 24MK430H S/206NTSU0K302 PANTALLA 24" -P2422H 1 2 (HDCP 1 4)VGA HDMI(HDCOP 1 4)USB 3 2 MOUSE OPTICO TECADO PHILIPS</v>
      </c>
      <c r="I621" s="5" t="s">
        <v>132</v>
      </c>
    </row>
    <row r="622" spans="1:9" x14ac:dyDescent="0.25">
      <c r="A622" s="4">
        <f t="shared" si="9"/>
        <v>621</v>
      </c>
      <c r="B622" s="4" t="s">
        <v>12</v>
      </c>
      <c r="C622" t="str">
        <f>[3]Sheet1!$D$3</f>
        <v>KARLA LORENA CAMACHO BARBA</v>
      </c>
      <c r="E622" t="s">
        <v>133</v>
      </c>
      <c r="F622" t="s">
        <v>134</v>
      </c>
      <c r="G622" s="4" t="str">
        <f>[3]Sheet1!B78</f>
        <v>4-011398</v>
      </c>
      <c r="H622" t="str">
        <f>[3]Sheet1!C78</f>
        <v>MICROSCOPIO VERTICAL TRINOCULAR CON CAMARA MARCA MOTIC MODELO PANTHERA C2 PROCEDENCIA CANADA SERIE 22001161</v>
      </c>
      <c r="I622" s="5" t="s">
        <v>132</v>
      </c>
    </row>
    <row r="623" spans="1:9" x14ac:dyDescent="0.25">
      <c r="A623" s="4">
        <f t="shared" si="9"/>
        <v>622</v>
      </c>
      <c r="B623" s="4" t="s">
        <v>12</v>
      </c>
      <c r="C623" t="str">
        <f>[3]Sheet1!$D$3</f>
        <v>KARLA LORENA CAMACHO BARBA</v>
      </c>
      <c r="E623" t="s">
        <v>133</v>
      </c>
      <c r="F623" t="s">
        <v>134</v>
      </c>
      <c r="G623" s="4" t="str">
        <f>[3]Sheet1!B79</f>
        <v>4-09856</v>
      </c>
      <c r="H623" t="str">
        <f>[3]Sheet1!C79</f>
        <v>CPU MARCA DEEPCOOL ARMADO CON PROSESADOR RYZON 5 S/LBMOCS09E7413XL 16GB RAM 256GB SSD 40GB</v>
      </c>
      <c r="I623" s="5" t="s">
        <v>132</v>
      </c>
    </row>
    <row r="624" spans="1:9" x14ac:dyDescent="0.25">
      <c r="A624" s="4">
        <f t="shared" si="9"/>
        <v>623</v>
      </c>
      <c r="B624" s="4" t="s">
        <v>12</v>
      </c>
      <c r="C624" t="str">
        <f>[3]Sheet1!$D$3</f>
        <v>KARLA LORENA CAMACHO BARBA</v>
      </c>
      <c r="E624" t="s">
        <v>133</v>
      </c>
      <c r="F624" t="s">
        <v>134</v>
      </c>
      <c r="G624" s="4" t="str">
        <f>[3]Sheet1!B80</f>
        <v>4-011389</v>
      </c>
      <c r="H624" t="str">
        <f>[3]Sheet1!C80</f>
        <v>MEDIDOR DE HUMEDAD DE GRANOS PORTATIL MARCA KETT MODELO PM 450 PROCEDENCIA JAPON SERIE CD20493</v>
      </c>
      <c r="I624" s="5" t="s">
        <v>132</v>
      </c>
    </row>
    <row r="625" spans="1:9" x14ac:dyDescent="0.25">
      <c r="A625" s="4">
        <f t="shared" si="9"/>
        <v>624</v>
      </c>
      <c r="B625" s="4" t="s">
        <v>12</v>
      </c>
      <c r="C625" t="str">
        <f>[3]Sheet1!$D$3</f>
        <v>KARLA LORENA CAMACHO BARBA</v>
      </c>
      <c r="E625" t="s">
        <v>133</v>
      </c>
      <c r="F625" t="s">
        <v>134</v>
      </c>
      <c r="G625" s="4" t="str">
        <f>[3]Sheet1!B81</f>
        <v>4-11627</v>
      </c>
      <c r="H625" t="str">
        <f>[3]Sheet1!C81</f>
        <v>MEDICION PORTATIL DE NUTRIENTES EN CULTIVOS MARCA HORIBA MODELO LAQUATWIN PORCEDENCIA CHINA S/N 4540565001511</v>
      </c>
      <c r="I625" s="5" t="s">
        <v>132</v>
      </c>
    </row>
    <row r="626" spans="1:9" x14ac:dyDescent="0.25">
      <c r="A626" s="4">
        <f t="shared" si="9"/>
        <v>625</v>
      </c>
      <c r="B626" s="4" t="s">
        <v>12</v>
      </c>
      <c r="C626" t="str">
        <f>[3]Sheet1!$D$3</f>
        <v>KARLA LORENA CAMACHO BARBA</v>
      </c>
      <c r="E626" t="s">
        <v>133</v>
      </c>
      <c r="F626" t="s">
        <v>134</v>
      </c>
      <c r="G626" s="4" t="str">
        <f>[3]Sheet1!B82</f>
        <v>4-11626</v>
      </c>
      <c r="H626" t="str">
        <f>[3]Sheet1!C82</f>
        <v>MEDICION PORTATIL DE NUTRIENTES EN CULTIVOS MARCA HORIBA MODELO LAQUATWIN PORCEDENCIA CHINA S/N 4540565001510</v>
      </c>
      <c r="I626" s="5" t="s">
        <v>132</v>
      </c>
    </row>
    <row r="627" spans="1:9" x14ac:dyDescent="0.25">
      <c r="A627" s="4">
        <f t="shared" si="9"/>
        <v>626</v>
      </c>
      <c r="B627" s="4" t="s">
        <v>12</v>
      </c>
      <c r="C627" t="str">
        <f>[3]Sheet1!$D$3</f>
        <v>KARLA LORENA CAMACHO BARBA</v>
      </c>
      <c r="E627" t="s">
        <v>133</v>
      </c>
      <c r="F627" t="s">
        <v>134</v>
      </c>
      <c r="G627" s="4" t="str">
        <f>[3]Sheet1!B83</f>
        <v>4-011382</v>
      </c>
      <c r="H627" t="str">
        <f>[3]Sheet1!C83</f>
        <v>MEDIDOR MULTIPARAMETRICO CON GPS MARCA HORIBA MODELO U52 PROCEDENCIA DE JAPON SERIE 12HRCC8V</v>
      </c>
      <c r="I627" s="5" t="s">
        <v>132</v>
      </c>
    </row>
    <row r="628" spans="1:9" x14ac:dyDescent="0.25">
      <c r="A628" s="4">
        <f t="shared" si="9"/>
        <v>627</v>
      </c>
      <c r="B628" s="4" t="s">
        <v>12</v>
      </c>
      <c r="C628" t="str">
        <f>[3]Sheet1!$D$3</f>
        <v>KARLA LORENA CAMACHO BARBA</v>
      </c>
      <c r="E628" t="s">
        <v>133</v>
      </c>
      <c r="F628" t="s">
        <v>134</v>
      </c>
      <c r="G628" s="4" t="str">
        <f>[3]Sheet1!B84</f>
        <v>4-11649</v>
      </c>
      <c r="H628" t="str">
        <f>[3]Sheet1!C84</f>
        <v>HORNO MUFLA 1100¬C 10 LITROS MARCA SNOL MODELO 8.2/1100 LHM01 NUMERO DE SERIE 1602 PROCEDENCIA LITHUANIA</v>
      </c>
      <c r="I628" s="5" t="s">
        <v>132</v>
      </c>
    </row>
    <row r="629" spans="1:9" x14ac:dyDescent="0.25">
      <c r="A629" s="4">
        <f t="shared" si="9"/>
        <v>628</v>
      </c>
      <c r="B629" s="4" t="s">
        <v>12</v>
      </c>
      <c r="C629" t="str">
        <f>[3]Sheet1!$D$3</f>
        <v>KARLA LORENA CAMACHO BARBA</v>
      </c>
      <c r="E629" t="s">
        <v>133</v>
      </c>
      <c r="F629" t="s">
        <v>134</v>
      </c>
      <c r="G629" s="4" t="str">
        <f>[3]Sheet1!B85</f>
        <v>4-09401</v>
      </c>
      <c r="H629" t="str">
        <f>[3]Sheet1!C85</f>
        <v>HORNO DE PANADERIA DE 4 BANDEJAS MARCA CATANIA MODELO H457A PROCEDENCIA CHINA, DE ACERO INOXIDBLE CAPACIDAD 57 LITROS, MEDIDAS: 0,60*0,59*0,56 MTS.</v>
      </c>
      <c r="I629" s="5" t="s">
        <v>132</v>
      </c>
    </row>
    <row r="630" spans="1:9" x14ac:dyDescent="0.25">
      <c r="A630" s="4">
        <f t="shared" si="9"/>
        <v>629</v>
      </c>
      <c r="B630" s="4" t="s">
        <v>12</v>
      </c>
      <c r="C630" t="str">
        <f>[3]Sheet1!$D$3</f>
        <v>KARLA LORENA CAMACHO BARBA</v>
      </c>
      <c r="E630" t="s">
        <v>133</v>
      </c>
      <c r="F630" t="s">
        <v>134</v>
      </c>
      <c r="G630" s="4" t="str">
        <f>[3]Sheet1!B86</f>
        <v>4-08569</v>
      </c>
      <c r="H630" t="str">
        <f>[3]Sheet1!C86</f>
        <v>EQUIPO DE PROYECCION DATA DISPLAY MARCA CASIO MOD XJ-F20XN S/N:A995BBBY69-061431 CON TECNOLOGIA LASER LED CON CHIP DE 0,55" DLP DE 1,024X768 PIXELES</v>
      </c>
      <c r="I630" s="5" t="s">
        <v>132</v>
      </c>
    </row>
    <row r="631" spans="1:9" x14ac:dyDescent="0.25">
      <c r="A631" s="4">
        <f t="shared" si="9"/>
        <v>630</v>
      </c>
      <c r="B631" s="4" t="s">
        <v>12</v>
      </c>
      <c r="C631" t="str">
        <f>[3]Sheet1!$D$3</f>
        <v>KARLA LORENA CAMACHO BARBA</v>
      </c>
      <c r="E631" t="s">
        <v>133</v>
      </c>
      <c r="F631" t="s">
        <v>134</v>
      </c>
      <c r="G631" s="4" t="str">
        <f>[3]Sheet1!B87</f>
        <v>4-08567</v>
      </c>
      <c r="H631" t="str">
        <f>[3]Sheet1!C87</f>
        <v>EQUIPO DE PROYECCION DATA DISPLAY MARCA CASIO MOD XJ-F20XN S/N:A995BBBY73-072898 CON TECNOLOGIA LASER LED CON CHIP DE 0,55" DLP DE 1,024X768 PIXELES</v>
      </c>
      <c r="I631" s="5" t="s">
        <v>132</v>
      </c>
    </row>
    <row r="632" spans="1:9" x14ac:dyDescent="0.25">
      <c r="A632" s="4">
        <f t="shared" si="9"/>
        <v>631</v>
      </c>
      <c r="B632" s="4" t="s">
        <v>12</v>
      </c>
      <c r="C632" t="str">
        <f>[4]Sheet1!$D$38</f>
        <v>MARIA RENE FLORES URZAGASTE</v>
      </c>
      <c r="E632" t="s">
        <v>135</v>
      </c>
      <c r="F632" t="s">
        <v>136</v>
      </c>
      <c r="G632" s="4" t="str">
        <f>[4]Sheet1!B3</f>
        <v>4-04983</v>
      </c>
      <c r="H632" t="str">
        <f>[4]Sheet1!C3</f>
        <v>REFRACTOMETRO DIGITAL MARCA ATAGO, MOD: PAL-1 N/S 30415, COLOR BLANCO</v>
      </c>
      <c r="I632" s="5" t="str">
        <f>[4]Sheet1!E3</f>
        <v>Regular</v>
      </c>
    </row>
    <row r="633" spans="1:9" x14ac:dyDescent="0.25">
      <c r="A633" s="4">
        <f t="shared" si="9"/>
        <v>632</v>
      </c>
      <c r="B633" s="4" t="s">
        <v>12</v>
      </c>
      <c r="C633" t="str">
        <f>[4]Sheet1!$D$38</f>
        <v>MARIA RENE FLORES URZAGASTE</v>
      </c>
      <c r="E633" t="s">
        <v>135</v>
      </c>
      <c r="F633" t="s">
        <v>136</v>
      </c>
      <c r="G633" s="4" t="str">
        <f>[4]Sheet1!B4</f>
        <v>4-05804</v>
      </c>
      <c r="H633" t="str">
        <f>[4]Sheet1!C4</f>
        <v>FOTOMETRO PORTATIL PREPROGRAMADO PARA ANALISIS QUIMICO DE AGUAS:S/N PT751YSI0415305 MARCA-YSI;MODELO-9500; PROCEDENCIA-INGLATERRA (UK).</v>
      </c>
      <c r="I633" s="5" t="str">
        <f>[4]Sheet1!E4</f>
        <v>Regular</v>
      </c>
    </row>
    <row r="634" spans="1:9" x14ac:dyDescent="0.25">
      <c r="A634" s="4">
        <f t="shared" si="9"/>
        <v>633</v>
      </c>
      <c r="B634" s="4" t="s">
        <v>12</v>
      </c>
      <c r="C634" t="str">
        <f>[4]Sheet1!$D$38</f>
        <v>MARIA RENE FLORES URZAGASTE</v>
      </c>
      <c r="E634" t="s">
        <v>135</v>
      </c>
      <c r="F634" t="s">
        <v>136</v>
      </c>
      <c r="G634" s="4" t="str">
        <f>[4]Sheet1!B5</f>
        <v>4-05803</v>
      </c>
      <c r="H634" t="str">
        <f>[4]Sheet1!C5</f>
        <v>FOTOMETRO PORTATIL PREPROGRAMADO PARA ANALISIS QUIMICO DE AGUAS:S/N PT751YSI0415288 MARCA-YSI;MODELO-9500; PROCEDENCIA-INGLATERRA (UK).</v>
      </c>
      <c r="I634" s="5" t="str">
        <f>[4]Sheet1!E5</f>
        <v>Regular</v>
      </c>
    </row>
    <row r="635" spans="1:9" x14ac:dyDescent="0.25">
      <c r="A635" s="4">
        <f t="shared" si="9"/>
        <v>634</v>
      </c>
      <c r="B635" s="4" t="s">
        <v>12</v>
      </c>
      <c r="C635" t="str">
        <f>[4]Sheet1!$D$38</f>
        <v>MARIA RENE FLORES URZAGASTE</v>
      </c>
      <c r="E635" t="s">
        <v>135</v>
      </c>
      <c r="F635" t="s">
        <v>136</v>
      </c>
      <c r="G635" s="4" t="str">
        <f>[4]Sheet1!B6</f>
        <v>4-05378</v>
      </c>
      <c r="H635" t="str">
        <f>[4]Sheet1!C6</f>
        <v>GPS MODELO GARMIN ETREX 20X/20. S/N: 470036800; ACCESORIOS: UN CABLE USB; UN MANUAL UN CD SOFWARE MAP SOURE.</v>
      </c>
      <c r="I635" s="5" t="str">
        <f>[4]Sheet1!E6</f>
        <v>Regular</v>
      </c>
    </row>
    <row r="636" spans="1:9" x14ac:dyDescent="0.25">
      <c r="A636" s="4">
        <f t="shared" si="9"/>
        <v>635</v>
      </c>
      <c r="B636" s="4" t="s">
        <v>12</v>
      </c>
      <c r="C636" t="str">
        <f>[4]Sheet1!$D$38</f>
        <v>MARIA RENE FLORES URZAGASTE</v>
      </c>
      <c r="E636" t="s">
        <v>135</v>
      </c>
      <c r="F636" t="s">
        <v>136</v>
      </c>
      <c r="G636" s="4" t="str">
        <f>[4]Sheet1!B7</f>
        <v>4-11629</v>
      </c>
      <c r="H636" t="str">
        <f>[4]Sheet1!C7</f>
        <v>ANALISIS DE PARAMETROS NPK FOTOMETRICO MARCA STELZNER MODELO AMOLA S/N NPF3K4625 PROCEDENCIA ALEMANA</v>
      </c>
      <c r="I636" s="5" t="str">
        <f>[4]Sheet1!E7</f>
        <v>Regular</v>
      </c>
    </row>
    <row r="637" spans="1:9" x14ac:dyDescent="0.25">
      <c r="A637" s="4">
        <f t="shared" si="9"/>
        <v>636</v>
      </c>
      <c r="B637" s="4" t="s">
        <v>12</v>
      </c>
      <c r="C637" t="str">
        <f>[4]Sheet1!$D$38</f>
        <v>MARIA RENE FLORES URZAGASTE</v>
      </c>
      <c r="E637" t="s">
        <v>135</v>
      </c>
      <c r="F637" t="s">
        <v>136</v>
      </c>
      <c r="G637" s="4" t="str">
        <f>[4]Sheet1!B8</f>
        <v>4-05794</v>
      </c>
      <c r="H637" t="str">
        <f>[4]Sheet1!C8</f>
        <v>KIT PARA OBTENCION DE MUESTRAS DE AGUAS:S/N - MARCA-FIELDMASTER Y WATERMARK;MODELO-KIT; PROCEDENCIA-CHINA Y USA.</v>
      </c>
      <c r="I637" s="5" t="str">
        <f>[4]Sheet1!E8</f>
        <v>Regular</v>
      </c>
    </row>
    <row r="638" spans="1:9" x14ac:dyDescent="0.25">
      <c r="A638" s="4">
        <f t="shared" si="9"/>
        <v>637</v>
      </c>
      <c r="B638" s="4" t="s">
        <v>12</v>
      </c>
      <c r="C638" t="str">
        <f>[4]Sheet1!$D$38</f>
        <v>MARIA RENE FLORES URZAGASTE</v>
      </c>
      <c r="E638" t="s">
        <v>135</v>
      </c>
      <c r="F638" t="s">
        <v>136</v>
      </c>
      <c r="G638" s="4" t="str">
        <f>[4]Sheet1!B9</f>
        <v>4-05793</v>
      </c>
      <c r="H638" t="str">
        <f>[4]Sheet1!C9</f>
        <v>KIT PARA OBTENCION DE MUESTRAS DE AGUAS:S/N - MARCA-FIELDMASTER Y WATERMARK;MODELO-KIT; PROCEDENCIA-CHINA Y USA.</v>
      </c>
      <c r="I638" s="5" t="str">
        <f>[4]Sheet1!E9</f>
        <v>Malo</v>
      </c>
    </row>
    <row r="639" spans="1:9" x14ac:dyDescent="0.25">
      <c r="A639" s="4">
        <f t="shared" si="9"/>
        <v>638</v>
      </c>
      <c r="B639" s="4" t="s">
        <v>12</v>
      </c>
      <c r="C639" t="str">
        <f>[4]Sheet1!$D$38</f>
        <v>MARIA RENE FLORES URZAGASTE</v>
      </c>
      <c r="E639" t="s">
        <v>135</v>
      </c>
      <c r="F639" t="s">
        <v>136</v>
      </c>
      <c r="G639" s="4" t="str">
        <f>[4]Sheet1!B10</f>
        <v>4-05807</v>
      </c>
      <c r="H639" t="str">
        <f>[4]Sheet1!C10</f>
        <v>EQUIPO PORTATIL MULTIPARAMETRICO PARA OXIGENO DISUELTO-SISTEMA OPTICO. S/N 15F101693 MARCA-YSI;MODELO-PROODO; PROCEDENCIA-USA.</v>
      </c>
      <c r="I639" s="5" t="str">
        <f>[4]Sheet1!E10</f>
        <v>Regular</v>
      </c>
    </row>
    <row r="640" spans="1:9" x14ac:dyDescent="0.25">
      <c r="A640" s="4">
        <f t="shared" si="9"/>
        <v>639</v>
      </c>
      <c r="B640" s="4" t="s">
        <v>12</v>
      </c>
      <c r="C640" t="str">
        <f>[4]Sheet1!$D$38</f>
        <v>MARIA RENE FLORES URZAGASTE</v>
      </c>
      <c r="E640" t="s">
        <v>135</v>
      </c>
      <c r="F640" t="s">
        <v>136</v>
      </c>
      <c r="G640" s="4" t="str">
        <f>[4]Sheet1!B11</f>
        <v>4-05806</v>
      </c>
      <c r="H640" t="str">
        <f>[4]Sheet1!C11</f>
        <v>EQUIPO PORTATIL MULTIPARAMETRICO PARA OXIGENO DISUELTO-SISTEMA OPTICO. S/N 15F101692 MARCA-YSI;MODELO-PROODO; PROCEDENCIA-USA.</v>
      </c>
      <c r="I640" s="5" t="str">
        <f>[4]Sheet1!E11</f>
        <v>Regular</v>
      </c>
    </row>
    <row r="641" spans="1:9" x14ac:dyDescent="0.25">
      <c r="A641" s="4">
        <f t="shared" si="9"/>
        <v>640</v>
      </c>
      <c r="B641" s="4" t="s">
        <v>12</v>
      </c>
      <c r="C641" t="str">
        <f>[4]Sheet1!$D$38</f>
        <v>MARIA RENE FLORES URZAGASTE</v>
      </c>
      <c r="E641" t="s">
        <v>135</v>
      </c>
      <c r="F641" t="s">
        <v>136</v>
      </c>
      <c r="G641" s="4" t="str">
        <f>[4]Sheet1!B12</f>
        <v>4-05801</v>
      </c>
      <c r="H641" t="str">
        <f>[4]Sheet1!C12</f>
        <v>EQUIPO PORTATIL SEMI-AUTOMATICO PARA ANALISIS DE PLOMO EN AGUAS):S/N PT40005151238 MARCA-PALINTEST;MODELO-SA1100; PROCEDENCIA-INGLATERRA.</v>
      </c>
      <c r="I641" s="5" t="str">
        <f>[4]Sheet1!E12</f>
        <v>Regular</v>
      </c>
    </row>
    <row r="642" spans="1:9" x14ac:dyDescent="0.25">
      <c r="A642" s="4">
        <f t="shared" si="9"/>
        <v>641</v>
      </c>
      <c r="B642" s="4" t="s">
        <v>12</v>
      </c>
      <c r="C642" t="str">
        <f>[4]Sheet1!$D$38</f>
        <v>MARIA RENE FLORES URZAGASTE</v>
      </c>
      <c r="E642" t="s">
        <v>135</v>
      </c>
      <c r="F642" t="s">
        <v>136</v>
      </c>
      <c r="G642" s="4" t="str">
        <f>[4]Sheet1!B13</f>
        <v>4-05802</v>
      </c>
      <c r="H642" t="str">
        <f>[4]Sheet1!C13</f>
        <v>EQUIPO PORTATIL SEMI-AUTOMATICO PARA ANALISIS DE PLOMO EN AGUAS):S/N PT40005151236 MARCA-PALINTEST;MODELO-SA1100; PROCEDENCIA-INGLATERRA.</v>
      </c>
      <c r="I642" s="5" t="str">
        <f>[4]Sheet1!E13</f>
        <v>Regular</v>
      </c>
    </row>
    <row r="643" spans="1:9" x14ac:dyDescent="0.25">
      <c r="A643" s="4">
        <f t="shared" si="9"/>
        <v>642</v>
      </c>
      <c r="B643" s="4" t="s">
        <v>12</v>
      </c>
      <c r="C643" t="str">
        <f>[4]Sheet1!$D$38</f>
        <v>MARIA RENE FLORES URZAGASTE</v>
      </c>
      <c r="E643" t="s">
        <v>135</v>
      </c>
      <c r="F643" t="s">
        <v>136</v>
      </c>
      <c r="G643" s="4" t="str">
        <f>[4]Sheet1!B14</f>
        <v>4-05809</v>
      </c>
      <c r="H643" t="str">
        <f>[4]Sheet1!C14</f>
        <v>EQUIPO PORTATIL MULTIPARAMETRICO (PH CONDUCTIVIDAD TEMPERATURA) S/N 15F103334 MARCA YSI MODELO PROFECIONAL PLUSS PROCEDENCIA-USA</v>
      </c>
      <c r="I643" s="5" t="str">
        <f>[4]Sheet1!E14</f>
        <v>Regular</v>
      </c>
    </row>
    <row r="644" spans="1:9" x14ac:dyDescent="0.25">
      <c r="A644" s="4">
        <f t="shared" ref="A644:A707" si="10">A643+1</f>
        <v>643</v>
      </c>
      <c r="B644" s="4" t="s">
        <v>12</v>
      </c>
      <c r="C644" t="str">
        <f>[4]Sheet1!$D$38</f>
        <v>MARIA RENE FLORES URZAGASTE</v>
      </c>
      <c r="E644" t="s">
        <v>135</v>
      </c>
      <c r="F644" t="s">
        <v>136</v>
      </c>
      <c r="G644" s="4" t="str">
        <f>[4]Sheet1!B15</f>
        <v>4-05808</v>
      </c>
      <c r="H644" t="str">
        <f>[4]Sheet1!C15</f>
        <v>EQUIPO PORTATIL MULTIPARAMETRICO (PH CONDUCTIVIDAD TEMPERATURA) S/N 15F102421 MARCA-YSI MODELO PROFECIONAL PLUSS PROCEDENCIA-USA</v>
      </c>
      <c r="I644" s="5" t="str">
        <f>[4]Sheet1!E15</f>
        <v>Regular</v>
      </c>
    </row>
    <row r="645" spans="1:9" x14ac:dyDescent="0.25">
      <c r="A645" s="4">
        <f t="shared" si="10"/>
        <v>644</v>
      </c>
      <c r="B645" s="4" t="s">
        <v>12</v>
      </c>
      <c r="C645" t="str">
        <f>[4]Sheet1!$D$38</f>
        <v>MARIA RENE FLORES URZAGASTE</v>
      </c>
      <c r="E645" t="s">
        <v>135</v>
      </c>
      <c r="F645" t="s">
        <v>136</v>
      </c>
      <c r="G645" s="4" t="str">
        <f>[4]Sheet1!B16</f>
        <v>4-05813</v>
      </c>
      <c r="H645" t="str">
        <f>[4]Sheet1!C16</f>
        <v>KIT PORTATIL PARA ANALISIS DE SUELO PROFESIONAL:S/N PTB75100615542 MARCA-PALINTEST;MODELO-SOILTEST 10; PROCEDENCIA-INGLATERRA (UK).</v>
      </c>
      <c r="I645" s="5" t="str">
        <f>[4]Sheet1!E16</f>
        <v>Regular</v>
      </c>
    </row>
    <row r="646" spans="1:9" x14ac:dyDescent="0.25">
      <c r="A646" s="4">
        <f t="shared" si="10"/>
        <v>645</v>
      </c>
      <c r="B646" s="4" t="s">
        <v>12</v>
      </c>
      <c r="C646" t="str">
        <f>[4]Sheet1!$D$38</f>
        <v>MARIA RENE FLORES URZAGASTE</v>
      </c>
      <c r="E646" t="s">
        <v>135</v>
      </c>
      <c r="F646" t="s">
        <v>136</v>
      </c>
      <c r="G646" s="4" t="str">
        <f>[4]Sheet1!B17</f>
        <v>4-05812</v>
      </c>
      <c r="H646" t="str">
        <f>[4]Sheet1!C17</f>
        <v>KIT PORTATIL PARA ANALISIS DE SUELO PROFESIONAL:S/N PTB75000814313 MARCA-PALINTEST;MODELO-SOILTEST 10; PROCEDENCIA-INGLATERRA (UK).</v>
      </c>
      <c r="I646" s="5" t="str">
        <f>[4]Sheet1!E17</f>
        <v>Regular</v>
      </c>
    </row>
    <row r="647" spans="1:9" x14ac:dyDescent="0.25">
      <c r="A647" s="4">
        <f t="shared" si="10"/>
        <v>646</v>
      </c>
      <c r="B647" s="4" t="s">
        <v>12</v>
      </c>
      <c r="C647" t="str">
        <f>[4]Sheet1!$D$38</f>
        <v>MARIA RENE FLORES URZAGASTE</v>
      </c>
      <c r="E647" t="s">
        <v>135</v>
      </c>
      <c r="F647" t="s">
        <v>136</v>
      </c>
      <c r="G647" s="4" t="str">
        <f>[4]Sheet1!B18</f>
        <v>4-11630</v>
      </c>
      <c r="H647" t="str">
        <f>[4]Sheet1!C18</f>
        <v>KIT PARA PREPARACION DE MUESTRAS DE SUELO MARCA STELZNER MODELO 1875 S/N 30001875 PROCEDENCIA ALEMANA</v>
      </c>
      <c r="I647" s="5" t="str">
        <f>[4]Sheet1!E18</f>
        <v>Regular</v>
      </c>
    </row>
    <row r="648" spans="1:9" x14ac:dyDescent="0.25">
      <c r="A648" s="4">
        <f t="shared" si="10"/>
        <v>647</v>
      </c>
      <c r="B648" s="4" t="s">
        <v>12</v>
      </c>
      <c r="C648" t="str">
        <f>[4]Sheet1!$D$38</f>
        <v>MARIA RENE FLORES URZAGASTE</v>
      </c>
      <c r="E648" t="s">
        <v>135</v>
      </c>
      <c r="F648" t="s">
        <v>136</v>
      </c>
      <c r="G648" s="4" t="str">
        <f>[4]Sheet1!B19</f>
        <v>4-11631</v>
      </c>
      <c r="H648" t="str">
        <f>[4]Sheet1!C19</f>
        <v>LABORATORIO DE ANALISIS DE AGUA MARCA TRACE 2O MODELO HT1000 S/N 564523 PRODECENDIA INGLATERRA</v>
      </c>
      <c r="I648" s="5" t="str">
        <f>[4]Sheet1!E19</f>
        <v>Regular</v>
      </c>
    </row>
    <row r="649" spans="1:9" x14ac:dyDescent="0.25">
      <c r="A649" s="4">
        <f t="shared" si="10"/>
        <v>648</v>
      </c>
      <c r="B649" s="4" t="s">
        <v>12</v>
      </c>
      <c r="C649" t="str">
        <f>[4]Sheet1!$D$38</f>
        <v>MARIA RENE FLORES URZAGASTE</v>
      </c>
      <c r="E649" t="s">
        <v>135</v>
      </c>
      <c r="F649" t="s">
        <v>136</v>
      </c>
      <c r="G649" s="4" t="str">
        <f>[4]Sheet1!B20</f>
        <v>4-05821</v>
      </c>
      <c r="H649" t="str">
        <f>[4]Sheet1!C20</f>
        <v>MACROCENTRIFUGADORA (HASTA 4000 RPM Y 16 TUBOS DE 15 ML) MARCA NAHITA, MODELO 2740 MEDIBAS.</v>
      </c>
      <c r="I649" s="5" t="str">
        <f>[4]Sheet1!E20</f>
        <v>Regular</v>
      </c>
    </row>
    <row r="650" spans="1:9" x14ac:dyDescent="0.25">
      <c r="A650" s="4">
        <f t="shared" si="10"/>
        <v>649</v>
      </c>
      <c r="B650" s="4" t="s">
        <v>12</v>
      </c>
      <c r="C650" t="str">
        <f>[4]Sheet1!$D$38</f>
        <v>MARIA RENE FLORES URZAGASTE</v>
      </c>
      <c r="E650" t="s">
        <v>135</v>
      </c>
      <c r="F650" t="s">
        <v>136</v>
      </c>
      <c r="G650" s="4" t="str">
        <f>[4]Sheet1!B21</f>
        <v>4-09601</v>
      </c>
      <c r="H650" t="str">
        <f>[4]Sheet1!C21</f>
        <v>AGITADOR MAGNETICO DIGITAL CON CALENTADOR MSH-200</v>
      </c>
      <c r="I650" s="5" t="str">
        <f>[4]Sheet1!E21</f>
        <v>Regular</v>
      </c>
    </row>
    <row r="651" spans="1:9" x14ac:dyDescent="0.25">
      <c r="A651" s="4">
        <f t="shared" si="10"/>
        <v>650</v>
      </c>
      <c r="B651" s="4" t="s">
        <v>12</v>
      </c>
      <c r="C651" t="str">
        <f>[4]Sheet1!$D$38</f>
        <v>MARIA RENE FLORES URZAGASTE</v>
      </c>
      <c r="E651" t="s">
        <v>135</v>
      </c>
      <c r="F651" t="s">
        <v>136</v>
      </c>
      <c r="G651" s="4" t="str">
        <f>[4]Sheet1!B22</f>
        <v>4-09600</v>
      </c>
      <c r="H651" t="str">
        <f>[4]Sheet1!C22</f>
        <v>AGITADOR MAGNETICO DIGITAL CON CALENTADOR MSH-200</v>
      </c>
      <c r="I651" s="5" t="str">
        <f>[4]Sheet1!E22</f>
        <v>Regular</v>
      </c>
    </row>
    <row r="652" spans="1:9" x14ac:dyDescent="0.25">
      <c r="A652" s="4">
        <f t="shared" si="10"/>
        <v>651</v>
      </c>
      <c r="B652" s="4" t="s">
        <v>12</v>
      </c>
      <c r="C652" t="str">
        <f>[4]Sheet1!$D$38</f>
        <v>MARIA RENE FLORES URZAGASTE</v>
      </c>
      <c r="E652" t="s">
        <v>135</v>
      </c>
      <c r="F652" t="s">
        <v>136</v>
      </c>
      <c r="G652" s="4" t="str">
        <f>[4]Sheet1!B23</f>
        <v>4-09599</v>
      </c>
      <c r="H652" t="str">
        <f>[4]Sheet1!C23</f>
        <v>AGITADOR MAGNETICO DIGITAL CON CALENTADOR MSH-200</v>
      </c>
      <c r="I652" s="5" t="str">
        <f>[4]Sheet1!E23</f>
        <v>Regular</v>
      </c>
    </row>
    <row r="653" spans="1:9" x14ac:dyDescent="0.25">
      <c r="A653" s="4">
        <f t="shared" si="10"/>
        <v>652</v>
      </c>
      <c r="B653" s="4" t="s">
        <v>12</v>
      </c>
      <c r="C653" t="str">
        <f>[4]Sheet1!$D$38</f>
        <v>MARIA RENE FLORES URZAGASTE</v>
      </c>
      <c r="E653" t="s">
        <v>135</v>
      </c>
      <c r="F653" t="s">
        <v>136</v>
      </c>
      <c r="G653" s="4" t="str">
        <f>[4]Sheet1!B24</f>
        <v>4-11643</v>
      </c>
      <c r="H653" t="str">
        <f>[4]Sheet1!C24</f>
        <v>AGITADOR MAGNETICO CON CALEFACCION MARCA DLAB MODELO MSS7-H550-PRO NUMERO DE SERIE MN227BC0000366 PROCEDENCIA CHINA</v>
      </c>
      <c r="I653" s="5" t="str">
        <f>[4]Sheet1!E24</f>
        <v>Regular</v>
      </c>
    </row>
    <row r="654" spans="1:9" x14ac:dyDescent="0.25">
      <c r="A654" s="4">
        <f t="shared" si="10"/>
        <v>653</v>
      </c>
      <c r="B654" s="4" t="s">
        <v>12</v>
      </c>
      <c r="C654" t="str">
        <f>[4]Sheet1!$D$38</f>
        <v>MARIA RENE FLORES URZAGASTE</v>
      </c>
      <c r="E654" t="s">
        <v>135</v>
      </c>
      <c r="F654" t="s">
        <v>136</v>
      </c>
      <c r="G654" s="4" t="str">
        <f>[4]Sheet1!B25</f>
        <v>4-05745</v>
      </c>
      <c r="H654" t="str">
        <f>[4]Sheet1!C25</f>
        <v>HORNO DE ESTERILIZACION REG.SINGLE DISPLAY PANTALLA TACTIL CAPACIDAD 53 LITROS MARCA-MEMMERT MODELO-UN55 N¬DE SERIE B213.2770 GARANTIA DE 24 MESES.</v>
      </c>
      <c r="I654" s="5" t="str">
        <f>[4]Sheet1!E25</f>
        <v>Regular</v>
      </c>
    </row>
    <row r="655" spans="1:9" x14ac:dyDescent="0.25">
      <c r="A655" s="4">
        <f t="shared" si="10"/>
        <v>654</v>
      </c>
      <c r="B655" s="4" t="s">
        <v>12</v>
      </c>
      <c r="C655" t="str">
        <f>[4]Sheet1!$D$38</f>
        <v>MARIA RENE FLORES URZAGASTE</v>
      </c>
      <c r="E655" t="s">
        <v>135</v>
      </c>
      <c r="F655" t="s">
        <v>136</v>
      </c>
      <c r="G655" s="4" t="str">
        <f>[4]Sheet1!B26</f>
        <v>4-05820</v>
      </c>
      <c r="H655" t="str">
        <f>[4]Sheet1!C26</f>
        <v>MUFLA DE 5.8 L Y 1200¬C:S/N 0151970201150619 MARCA-HERMOLYNE; MODELO-F48010; PROCEDENCIA-USA.</v>
      </c>
      <c r="I655" s="5" t="str">
        <f>[4]Sheet1!E26</f>
        <v>Regular</v>
      </c>
    </row>
    <row r="656" spans="1:9" x14ac:dyDescent="0.25">
      <c r="A656" s="4">
        <f t="shared" si="10"/>
        <v>655</v>
      </c>
      <c r="B656" s="4" t="s">
        <v>12</v>
      </c>
      <c r="C656" t="str">
        <f>[4]Sheet1!$D$38</f>
        <v>MARIA RENE FLORES URZAGASTE</v>
      </c>
      <c r="E656" t="s">
        <v>135</v>
      </c>
      <c r="F656" t="s">
        <v>136</v>
      </c>
      <c r="G656" s="4" t="str">
        <f>[4]Sheet1!B27</f>
        <v>4-05792</v>
      </c>
      <c r="H656" t="str">
        <f>[4]Sheet1!C27</f>
        <v>CAMARAS IP CMP DOMO; MARCA: DAHUA; MODELO: DH-IPC-HDW4300SN; S/N 1G036E6PAX00073</v>
      </c>
      <c r="I656" s="5" t="str">
        <f>[4]Sheet1!E27</f>
        <v>Regular</v>
      </c>
    </row>
    <row r="657" spans="1:9" x14ac:dyDescent="0.25">
      <c r="A657" s="4">
        <f t="shared" si="10"/>
        <v>656</v>
      </c>
      <c r="B657" s="4" t="s">
        <v>12</v>
      </c>
      <c r="C657" t="str">
        <f>[4]Sheet1!$D$38</f>
        <v>MARIA RENE FLORES URZAGASTE</v>
      </c>
      <c r="E657" t="s">
        <v>135</v>
      </c>
      <c r="F657" t="s">
        <v>136</v>
      </c>
      <c r="G657" s="4" t="str">
        <f>[4]Sheet1!B28</f>
        <v>4-09195</v>
      </c>
      <c r="H657" t="str">
        <f>[4]Sheet1!C28</f>
        <v>REFRIGERADOR LG TOP FREEZER CON MOTOR INVERTER COMPRESSOR Y CAPACIDAD TOTAL DE 180LT , GT21BP1</v>
      </c>
      <c r="I657" s="5" t="str">
        <f>[4]Sheet1!E28</f>
        <v>Regular</v>
      </c>
    </row>
    <row r="658" spans="1:9" x14ac:dyDescent="0.25">
      <c r="A658" s="4">
        <f t="shared" si="10"/>
        <v>657</v>
      </c>
      <c r="B658" s="4" t="s">
        <v>12</v>
      </c>
      <c r="C658" t="str">
        <f>[4]Sheet1!$D$38</f>
        <v>MARIA RENE FLORES URZAGASTE</v>
      </c>
      <c r="E658" t="s">
        <v>135</v>
      </c>
      <c r="F658" t="s">
        <v>136</v>
      </c>
      <c r="G658" s="4" t="str">
        <f>[4]Sheet1!B29</f>
        <v>4-04981</v>
      </c>
      <c r="H658" t="str">
        <f>[4]Sheet1!C29</f>
        <v>BARRENO PARA MUESTRA DE SUELOS, MARCA SPECTRUM, MOD: J-24, COLOR PLATEADO</v>
      </c>
      <c r="I658" s="5" t="str">
        <f>[4]Sheet1!E29</f>
        <v>Regular</v>
      </c>
    </row>
    <row r="659" spans="1:9" x14ac:dyDescent="0.25">
      <c r="A659" s="4">
        <f t="shared" si="10"/>
        <v>658</v>
      </c>
      <c r="B659" s="4" t="s">
        <v>12</v>
      </c>
      <c r="C659" t="str">
        <f>[4]Sheet1!$D$38</f>
        <v>MARIA RENE FLORES URZAGASTE</v>
      </c>
      <c r="E659" t="s">
        <v>135</v>
      </c>
      <c r="F659" t="s">
        <v>136</v>
      </c>
      <c r="G659" s="4" t="str">
        <f>[4]Sheet1!B30</f>
        <v>4-05719</v>
      </c>
      <c r="H659" t="str">
        <f>[4]Sheet1!C30</f>
        <v>JUEGO DE 3 BALANZAS DE PRESICION DE 0.001 A 200 GRS. (MARCA EXCELL NO. SERIE A06311957, A06311949, A06311954, CARG, TA2200900301)</v>
      </c>
      <c r="I659" s="5" t="str">
        <f>[4]Sheet1!E30</f>
        <v>Malo</v>
      </c>
    </row>
    <row r="660" spans="1:9" x14ac:dyDescent="0.25">
      <c r="A660" s="4">
        <f t="shared" si="10"/>
        <v>659</v>
      </c>
      <c r="B660" s="4" t="s">
        <v>12</v>
      </c>
      <c r="C660" t="str">
        <f>[4]Sheet1!$D$38</f>
        <v>MARIA RENE FLORES URZAGASTE</v>
      </c>
      <c r="E660" t="s">
        <v>135</v>
      </c>
      <c r="F660" t="s">
        <v>136</v>
      </c>
      <c r="G660" s="4" t="str">
        <f>[4]Sheet1!B31</f>
        <v>4-05718</v>
      </c>
      <c r="H660" t="str">
        <f>[4]Sheet1!C31</f>
        <v>JUEGO DE 3 BALANZAS DE PRESICION DE 0.001 A 200 GRS. (MARCA EXCELL NO. SERIE A06311957, A06311949, A06311954, CARG, TA2200900301)</v>
      </c>
      <c r="I660" s="5" t="str">
        <f>[4]Sheet1!E31</f>
        <v>Malo</v>
      </c>
    </row>
    <row r="661" spans="1:9" x14ac:dyDescent="0.25">
      <c r="A661" s="4">
        <f t="shared" si="10"/>
        <v>660</v>
      </c>
      <c r="B661" s="4" t="s">
        <v>12</v>
      </c>
      <c r="C661" t="str">
        <f>[4]Sheet1!$D$38</f>
        <v>MARIA RENE FLORES URZAGASTE</v>
      </c>
      <c r="E661" t="s">
        <v>135</v>
      </c>
      <c r="F661" t="s">
        <v>136</v>
      </c>
      <c r="G661" s="4" t="str">
        <f>[4]Sheet1!B32</f>
        <v>4-05695</v>
      </c>
      <c r="H661" t="str">
        <f>[4]Sheet1!C32</f>
        <v>BALANZA DE PRECISION (4500X0.01G) MARCA ADAM, MODELO PGW 4502I COLOR BLANCO CON CARGADOR SN + AE446L490.</v>
      </c>
      <c r="I661" s="5" t="str">
        <f>[4]Sheet1!E32</f>
        <v>Regular</v>
      </c>
    </row>
    <row r="662" spans="1:9" x14ac:dyDescent="0.25">
      <c r="A662" s="4">
        <f t="shared" si="10"/>
        <v>661</v>
      </c>
      <c r="B662" s="4" t="s">
        <v>12</v>
      </c>
      <c r="C662" t="str">
        <f>[4]Sheet1!$D$38</f>
        <v>MARIA RENE FLORES URZAGASTE</v>
      </c>
      <c r="E662" t="s">
        <v>135</v>
      </c>
      <c r="F662" t="s">
        <v>136</v>
      </c>
      <c r="G662" s="4" t="str">
        <f>[4]Sheet1!B33</f>
        <v>4-05805</v>
      </c>
      <c r="H662" t="str">
        <f>[4]Sheet1!C33</f>
        <v>ESTUFA DE CULTIVO (CAPACIDAD 30L. TEMP. HASTA 80¬C.) MARCA NAHITA, MODELO 636 PLUS.</v>
      </c>
      <c r="I662" s="5" t="str">
        <f>[4]Sheet1!E33</f>
        <v>Regular</v>
      </c>
    </row>
    <row r="663" spans="1:9" x14ac:dyDescent="0.25">
      <c r="A663" s="4">
        <f t="shared" si="10"/>
        <v>662</v>
      </c>
      <c r="B663" s="4" t="s">
        <v>12</v>
      </c>
      <c r="C663" t="str">
        <f>[4]Sheet1!$D$38</f>
        <v>MARIA RENE FLORES URZAGASTE</v>
      </c>
      <c r="E663" t="s">
        <v>135</v>
      </c>
      <c r="F663" t="s">
        <v>136</v>
      </c>
      <c r="G663" s="4" t="str">
        <f>[4]Sheet1!B34</f>
        <v>4-05797</v>
      </c>
      <c r="H663" t="str">
        <f>[4]Sheet1!C34</f>
        <v>PH METRO DE BOLSILLO (PH Y TEMPERATURA):S/N JC007735 MARCA-YSI;MODELO-PH10A; PROCEDENCIA-CHINA.</v>
      </c>
      <c r="I663" s="5" t="str">
        <f>[4]Sheet1!E34</f>
        <v>Regular</v>
      </c>
    </row>
    <row r="664" spans="1:9" x14ac:dyDescent="0.25">
      <c r="A664" s="4">
        <f t="shared" si="10"/>
        <v>663</v>
      </c>
      <c r="B664" s="4" t="s">
        <v>12</v>
      </c>
      <c r="C664" t="str">
        <f>[4]Sheet1!$D$38</f>
        <v>MARIA RENE FLORES URZAGASTE</v>
      </c>
      <c r="E664" t="s">
        <v>135</v>
      </c>
      <c r="F664" t="s">
        <v>136</v>
      </c>
      <c r="G664" s="4" t="str">
        <f>[4]Sheet1!B35</f>
        <v>4-05800</v>
      </c>
      <c r="H664" t="str">
        <f>[4]Sheet1!C35</f>
        <v>PH METRO DE BOLSILLO (PH Y TEMPERATURA):S/N JC007733 MARCA-YSI;MODELO-PH10A; PROCEDENCIA-CHINA.</v>
      </c>
      <c r="I664" s="5" t="str">
        <f>[4]Sheet1!E35</f>
        <v>Regular</v>
      </c>
    </row>
    <row r="665" spans="1:9" x14ac:dyDescent="0.25">
      <c r="A665" s="4">
        <f t="shared" si="10"/>
        <v>664</v>
      </c>
      <c r="B665" s="4" t="s">
        <v>12</v>
      </c>
      <c r="C665" t="str">
        <f>[4]Sheet1!$D$38</f>
        <v>MARIA RENE FLORES URZAGASTE</v>
      </c>
      <c r="E665" t="s">
        <v>135</v>
      </c>
      <c r="F665" t="s">
        <v>136</v>
      </c>
      <c r="G665" s="4" t="str">
        <f>[4]Sheet1!B36</f>
        <v>4-05798</v>
      </c>
      <c r="H665" t="str">
        <f>[4]Sheet1!C36</f>
        <v>PH METRO DE BOLSILLO (PH Y TEMPERATURA):S/N JC007732 MARCA-YSI;MODELO-PH10A; PROCEDENCIA-CHINA.</v>
      </c>
      <c r="I665" s="5" t="str">
        <f>[4]Sheet1!E36</f>
        <v>Regular</v>
      </c>
    </row>
    <row r="666" spans="1:9" x14ac:dyDescent="0.25">
      <c r="A666" s="4">
        <f t="shared" si="10"/>
        <v>665</v>
      </c>
      <c r="B666" s="4" t="s">
        <v>12</v>
      </c>
      <c r="C666" t="str">
        <f>[4]Sheet1!$D$38</f>
        <v>MARIA RENE FLORES URZAGASTE</v>
      </c>
      <c r="E666" t="s">
        <v>135</v>
      </c>
      <c r="F666" t="s">
        <v>136</v>
      </c>
      <c r="G666" s="4" t="str">
        <f>[4]Sheet1!B37</f>
        <v>4-05799</v>
      </c>
      <c r="H666" t="str">
        <f>[4]Sheet1!C37</f>
        <v>PH METRO DE BOLSILLO (PH Y TEMPERATURA):S/N JC007680 MARCA-YSI;MODELO-PH10A; PROCEDENCIA-CHINA.</v>
      </c>
      <c r="I666" s="5" t="str">
        <f>[4]Sheet1!E37</f>
        <v>Regular</v>
      </c>
    </row>
    <row r="667" spans="1:9" x14ac:dyDescent="0.25">
      <c r="A667" s="4">
        <f t="shared" si="10"/>
        <v>666</v>
      </c>
      <c r="B667" s="4" t="s">
        <v>12</v>
      </c>
      <c r="C667" t="str">
        <f>[4]Sheet1!$D$38</f>
        <v>MARIA RENE FLORES URZAGASTE</v>
      </c>
      <c r="E667" t="s">
        <v>135</v>
      </c>
      <c r="F667" t="s">
        <v>136</v>
      </c>
      <c r="G667" s="4" t="str">
        <f>[4]Sheet1!B38</f>
        <v>4-11657</v>
      </c>
      <c r="H667" t="str">
        <f>[4]Sheet1!C38</f>
        <v>INFILTROMETRO MARCA METERGROUP MODELO MINIDISK NUMERO DE SERIE 224227007A PROCEDENCIA EEUU</v>
      </c>
      <c r="I667" s="5" t="str">
        <f>[4]Sheet1!E38</f>
        <v>Regular</v>
      </c>
    </row>
    <row r="668" spans="1:9" x14ac:dyDescent="0.25">
      <c r="A668" s="4">
        <f t="shared" si="10"/>
        <v>667</v>
      </c>
      <c r="B668" s="4" t="s">
        <v>12</v>
      </c>
      <c r="C668" t="str">
        <f>[4]Sheet1!$D$38</f>
        <v>MARIA RENE FLORES URZAGASTE</v>
      </c>
      <c r="E668" t="s">
        <v>135</v>
      </c>
      <c r="F668" t="s">
        <v>136</v>
      </c>
      <c r="G668" s="4" t="str">
        <f>[4]Sheet1!B39</f>
        <v>4-11656</v>
      </c>
      <c r="H668" t="str">
        <f>[4]Sheet1!C39</f>
        <v>INFILTROMETRO MARCA METERGROUP MODELO MINIDISK NUMERO DE SERIE 224227003A PROCEDENCIA EEUU</v>
      </c>
      <c r="I668" s="5" t="str">
        <f>[4]Sheet1!E39</f>
        <v>Regular</v>
      </c>
    </row>
    <row r="669" spans="1:9" x14ac:dyDescent="0.25">
      <c r="A669" s="4">
        <f t="shared" si="10"/>
        <v>668</v>
      </c>
      <c r="B669" s="4" t="s">
        <v>12</v>
      </c>
      <c r="C669" t="str">
        <f>[4]Sheet1!$D$38</f>
        <v>MARIA RENE FLORES URZAGASTE</v>
      </c>
      <c r="E669" t="s">
        <v>135</v>
      </c>
      <c r="F669" t="s">
        <v>136</v>
      </c>
      <c r="G669" s="4" t="str">
        <f>[4]Sheet1!B40</f>
        <v>4-09598</v>
      </c>
      <c r="H669" t="str">
        <f>[4]Sheet1!C40</f>
        <v>SONOMETRO PORTATIL</v>
      </c>
      <c r="I669" s="5" t="str">
        <f>[4]Sheet1!E40</f>
        <v>Regular</v>
      </c>
    </row>
    <row r="670" spans="1:9" x14ac:dyDescent="0.25">
      <c r="A670" s="4">
        <f t="shared" si="10"/>
        <v>669</v>
      </c>
      <c r="B670" s="4" t="s">
        <v>12</v>
      </c>
      <c r="C670" t="str">
        <f>[4]Sheet1!$D$38</f>
        <v>MARIA RENE FLORES URZAGASTE</v>
      </c>
      <c r="E670" t="s">
        <v>135</v>
      </c>
      <c r="F670" t="s">
        <v>136</v>
      </c>
      <c r="G670" s="4" t="str">
        <f>[4]Sheet1!B41</f>
        <v>4-05814</v>
      </c>
      <c r="H670" t="str">
        <f>[4]Sheet1!C41</f>
        <v>ESTERILIZADOR TIPO OLLA PARA 24 LITROS ELECTRICA COLOR PLATEADO</v>
      </c>
      <c r="I670" s="5" t="str">
        <f>[4]Sheet1!E41</f>
        <v>Regular</v>
      </c>
    </row>
    <row r="671" spans="1:9" x14ac:dyDescent="0.25">
      <c r="A671" s="4">
        <f t="shared" si="10"/>
        <v>670</v>
      </c>
      <c r="B671" s="4" t="s">
        <v>12</v>
      </c>
      <c r="C671" t="str">
        <f>[4]Sheet1!$D$38</f>
        <v>MARIA RENE FLORES URZAGASTE</v>
      </c>
      <c r="E671" t="s">
        <v>135</v>
      </c>
      <c r="F671" t="s">
        <v>136</v>
      </c>
      <c r="G671" s="4" t="str">
        <f>[4]Sheet1!B42</f>
        <v>4-05815</v>
      </c>
      <c r="H671" t="str">
        <f>[4]Sheet1!C42</f>
        <v>ESTERILIZADOR TIPO OLLA PARA 24 LITROS ELECTRICA COLOR PLATEADO</v>
      </c>
      <c r="I671" s="5" t="str">
        <f>[4]Sheet1!E42</f>
        <v>Regular</v>
      </c>
    </row>
    <row r="672" spans="1:9" x14ac:dyDescent="0.25">
      <c r="A672" s="4">
        <f t="shared" si="10"/>
        <v>671</v>
      </c>
      <c r="B672" s="4" t="s">
        <v>12</v>
      </c>
      <c r="C672" t="str">
        <f>[4]Sheet1!$D$38</f>
        <v>MARIA RENE FLORES URZAGASTE</v>
      </c>
      <c r="E672" t="s">
        <v>135</v>
      </c>
      <c r="F672" t="s">
        <v>136</v>
      </c>
      <c r="G672" s="4" t="str">
        <f>[4]Sheet1!B43</f>
        <v>4-11655</v>
      </c>
      <c r="H672" t="str">
        <f>[4]Sheet1!C43</f>
        <v>SONDAS DE MUESTREO DE SUELO MARCA SPECTRUM MODELO SOIL SAMPLER KIT NUMERO DE SERIE 52321 PROCEDENCIA EEUU</v>
      </c>
      <c r="I672" s="5" t="str">
        <f>[4]Sheet1!E43</f>
        <v>Regular</v>
      </c>
    </row>
    <row r="673" spans="1:9" x14ac:dyDescent="0.25">
      <c r="A673" s="4">
        <f t="shared" si="10"/>
        <v>672</v>
      </c>
      <c r="B673" s="4" t="s">
        <v>12</v>
      </c>
      <c r="C673" t="str">
        <f>[4]Sheet1!$D$38</f>
        <v>MARIA RENE FLORES URZAGASTE</v>
      </c>
      <c r="E673" t="s">
        <v>135</v>
      </c>
      <c r="F673" t="s">
        <v>136</v>
      </c>
      <c r="G673" s="4" t="str">
        <f>[4]Sheet1!B44</f>
        <v>4-05379</v>
      </c>
      <c r="H673" t="str">
        <f>[4]Sheet1!C44</f>
        <v>MACROSCOPIO MARCA SPECTRUM, MOD: 45 WITHPOUCH, COLOR NEGRO</v>
      </c>
      <c r="I673" s="5" t="str">
        <f>[4]Sheet1!E44</f>
        <v>Regular</v>
      </c>
    </row>
    <row r="674" spans="1:9" x14ac:dyDescent="0.25">
      <c r="A674" s="4">
        <f t="shared" si="10"/>
        <v>673</v>
      </c>
      <c r="B674" s="4" t="s">
        <v>12</v>
      </c>
      <c r="C674" t="str">
        <f>[4]Sheet1!$D$38</f>
        <v>MARIA RENE FLORES URZAGASTE</v>
      </c>
      <c r="E674" t="s">
        <v>135</v>
      </c>
      <c r="F674" t="s">
        <v>136</v>
      </c>
      <c r="G674" s="4" t="str">
        <f>[4]Sheet1!B45</f>
        <v>4-11652</v>
      </c>
      <c r="H674" t="str">
        <f>[4]Sheet1!C45</f>
        <v>CURVAS DE LIBERACION DE HUMEDAD DEL SUELO MARCA METERGROUP MODELO HYPROP 2 NUMERO DE SERIE 3531 PROCEDENCIA EEUU</v>
      </c>
      <c r="I674" s="5" t="str">
        <f>[4]Sheet1!E45</f>
        <v>Regular</v>
      </c>
    </row>
    <row r="675" spans="1:9" x14ac:dyDescent="0.25">
      <c r="A675" s="4">
        <f t="shared" si="10"/>
        <v>674</v>
      </c>
      <c r="B675" s="4" t="s">
        <v>12</v>
      </c>
      <c r="C675" t="str">
        <f>[4]Sheet1!$D$38</f>
        <v>MARIA RENE FLORES URZAGASTE</v>
      </c>
      <c r="E675" t="s">
        <v>135</v>
      </c>
      <c r="F675" t="s">
        <v>136</v>
      </c>
      <c r="G675" s="4" t="str">
        <f>[4]Sheet1!B46</f>
        <v>4-011659</v>
      </c>
      <c r="H675" t="str">
        <f>[4]Sheet1!C46</f>
        <v>TERMO DESCONGELADOR</v>
      </c>
      <c r="I675" s="5" t="str">
        <f>[4]Sheet1!E46</f>
        <v>Regular</v>
      </c>
    </row>
    <row r="676" spans="1:9" x14ac:dyDescent="0.25">
      <c r="A676" s="4">
        <f t="shared" si="10"/>
        <v>675</v>
      </c>
      <c r="B676" s="4" t="s">
        <v>12</v>
      </c>
      <c r="C676" t="str">
        <f>[4]Sheet1!$D$38</f>
        <v>MARIA RENE FLORES URZAGASTE</v>
      </c>
      <c r="E676" t="s">
        <v>135</v>
      </c>
      <c r="F676" t="s">
        <v>136</v>
      </c>
      <c r="G676" s="4" t="str">
        <f>[4]Sheet1!B47</f>
        <v>4-011658</v>
      </c>
      <c r="H676" t="str">
        <f>[4]Sheet1!C47</f>
        <v>TERMO CRIOGENICO XC - 34</v>
      </c>
      <c r="I676" s="5" t="str">
        <f>[4]Sheet1!E47</f>
        <v>Regular</v>
      </c>
    </row>
    <row r="677" spans="1:9" x14ac:dyDescent="0.25">
      <c r="A677" s="4">
        <f t="shared" si="10"/>
        <v>676</v>
      </c>
      <c r="B677" s="4" t="s">
        <v>12</v>
      </c>
      <c r="C677" t="str">
        <f>[4]Sheet1!$D$38</f>
        <v>MARIA RENE FLORES URZAGASTE</v>
      </c>
      <c r="E677" t="s">
        <v>135</v>
      </c>
      <c r="F677" t="s">
        <v>136</v>
      </c>
      <c r="G677" s="4" t="str">
        <f>[4]Sheet1!B48</f>
        <v>4-04982</v>
      </c>
      <c r="H677" t="str">
        <f>[4]Sheet1!C48</f>
        <v>MEDIDOR DE HUMEDAD DE GRANOS, MARCA: TESMA, MOD: TESMACAMPO2, N/S H30412, COLOR AZUL</v>
      </c>
      <c r="I677" s="5" t="str">
        <f>[4]Sheet1!E48</f>
        <v>Regular</v>
      </c>
    </row>
    <row r="678" spans="1:9" x14ac:dyDescent="0.25">
      <c r="A678" s="4">
        <f t="shared" si="10"/>
        <v>677</v>
      </c>
      <c r="B678" s="4" t="s">
        <v>12</v>
      </c>
      <c r="C678" t="str">
        <f>[4]Sheet1!$D$38</f>
        <v>MARIA RENE FLORES URZAGASTE</v>
      </c>
      <c r="E678" t="s">
        <v>135</v>
      </c>
      <c r="F678" t="s">
        <v>136</v>
      </c>
      <c r="G678" s="4" t="str">
        <f>[4]Sheet1!B49</f>
        <v>4-01132</v>
      </c>
      <c r="H678" t="str">
        <f>[4]Sheet1!C49</f>
        <v>MEDIDOR DE HUMEDAD DE SUELOS, MARCA, SPECTRUM, MOD: TDR 300, N/S 13539 COLOR VINO/MORADO</v>
      </c>
      <c r="I678" s="5" t="str">
        <f>[4]Sheet1!E49</f>
        <v>Regular</v>
      </c>
    </row>
    <row r="679" spans="1:9" x14ac:dyDescent="0.25">
      <c r="A679" s="4">
        <f t="shared" si="10"/>
        <v>678</v>
      </c>
      <c r="B679" s="4" t="s">
        <v>12</v>
      </c>
      <c r="C679" t="str">
        <f>[4]Sheet1!$D$38</f>
        <v>MARIA RENE FLORES URZAGASTE</v>
      </c>
      <c r="E679" t="s">
        <v>135</v>
      </c>
      <c r="F679" t="s">
        <v>136</v>
      </c>
      <c r="G679" s="4" t="str">
        <f>[4]Sheet1!B50</f>
        <v>4-08175</v>
      </c>
      <c r="H679" t="str">
        <f>[4]Sheet1!C50</f>
        <v>SILLON SEMI EJECUTIVO COLOR NEGRO, TAPIZ TELA EN LA SENTADERA Y ESPALDAR TIPO MALLA</v>
      </c>
      <c r="I679" s="5" t="str">
        <f>[4]Sheet1!E50</f>
        <v>Regular</v>
      </c>
    </row>
    <row r="680" spans="1:9" x14ac:dyDescent="0.25">
      <c r="A680" s="4">
        <f t="shared" si="10"/>
        <v>679</v>
      </c>
      <c r="B680" s="4" t="s">
        <v>12</v>
      </c>
      <c r="C680" t="str">
        <f>[4]Sheet1!$D$38</f>
        <v>MARIA RENE FLORES URZAGASTE</v>
      </c>
      <c r="E680" t="s">
        <v>135</v>
      </c>
      <c r="F680" t="s">
        <v>136</v>
      </c>
      <c r="G680" s="4" t="str">
        <f>[4]Sheet1!B51</f>
        <v>4-05819</v>
      </c>
      <c r="H680" t="str">
        <f>[4]Sheet1!C51</f>
        <v>MICROSCOPIO BONOCULAR MOD. BM 120 S/N 0000880 MARCA BOECO-GERMANY, COLOR GRIS METALICO</v>
      </c>
      <c r="I680" s="5" t="str">
        <f>[4]Sheet1!E51</f>
        <v>Regular</v>
      </c>
    </row>
    <row r="681" spans="1:9" x14ac:dyDescent="0.25">
      <c r="A681" s="4">
        <f t="shared" si="10"/>
        <v>680</v>
      </c>
      <c r="B681" s="4" t="s">
        <v>12</v>
      </c>
      <c r="C681" t="str">
        <f>[4]Sheet1!$D$38</f>
        <v>MARIA RENE FLORES URZAGASTE</v>
      </c>
      <c r="E681" t="s">
        <v>135</v>
      </c>
      <c r="F681" t="s">
        <v>136</v>
      </c>
      <c r="G681" s="4" t="str">
        <f>[4]Sheet1!B52</f>
        <v>4-05817</v>
      </c>
      <c r="H681" t="str">
        <f>[4]Sheet1!C52</f>
        <v>MICROSCOPIO BONOCULAR MOD. BM 120 S/N 0000832 MARCA BOECO-GERMANY, COLOR GRIS METALICO</v>
      </c>
      <c r="I681" s="5" t="str">
        <f>[4]Sheet1!E52</f>
        <v>Regular</v>
      </c>
    </row>
    <row r="682" spans="1:9" x14ac:dyDescent="0.25">
      <c r="A682" s="4">
        <f t="shared" si="10"/>
        <v>681</v>
      </c>
      <c r="B682" s="4" t="s">
        <v>12</v>
      </c>
      <c r="C682" t="str">
        <f>[4]Sheet1!$D$38</f>
        <v>MARIA RENE FLORES URZAGASTE</v>
      </c>
      <c r="E682" t="s">
        <v>135</v>
      </c>
      <c r="F682" t="s">
        <v>136</v>
      </c>
      <c r="G682" s="4" t="str">
        <f>[4]Sheet1!B53</f>
        <v>4-05816</v>
      </c>
      <c r="H682" t="str">
        <f>[4]Sheet1!C53</f>
        <v>MICROSCOPIO BINOCULAR ACROMATICO, REVOLVER CUADRUPLE, MARCA ZURI, MODELO 122/107 COLOR BLANCO SN¬ C86750.</v>
      </c>
      <c r="I682" s="5" t="str">
        <f>[4]Sheet1!E53</f>
        <v>Regular</v>
      </c>
    </row>
    <row r="683" spans="1:9" x14ac:dyDescent="0.25">
      <c r="A683" s="4">
        <f t="shared" si="10"/>
        <v>682</v>
      </c>
      <c r="B683" s="4" t="s">
        <v>12</v>
      </c>
      <c r="C683" t="str">
        <f>[4]Sheet1!$D$38</f>
        <v>MARIA RENE FLORES URZAGASTE</v>
      </c>
      <c r="E683" t="s">
        <v>135</v>
      </c>
      <c r="F683" t="s">
        <v>136</v>
      </c>
      <c r="G683" s="4" t="str">
        <f>[4]Sheet1!B54</f>
        <v>4-05818</v>
      </c>
      <c r="H683" t="str">
        <f>[4]Sheet1!C54</f>
        <v>MICROSCOPIO BINOCULAR ACROMATICO, REVOLVER CUADRUPLE, MARCA ZURI, MODELO 122/107 COLOR BLANCO SN¬ 50122107</v>
      </c>
      <c r="I683" s="5" t="str">
        <f>[4]Sheet1!E54</f>
        <v>Regular</v>
      </c>
    </row>
    <row r="684" spans="1:9" x14ac:dyDescent="0.25">
      <c r="A684" s="4">
        <f t="shared" si="10"/>
        <v>683</v>
      </c>
      <c r="B684" s="4" t="s">
        <v>12</v>
      </c>
      <c r="C684" t="str">
        <f>[4]Sheet1!$D$38</f>
        <v>MARIA RENE FLORES URZAGASTE</v>
      </c>
      <c r="E684" t="s">
        <v>135</v>
      </c>
      <c r="F684" t="s">
        <v>136</v>
      </c>
      <c r="G684" s="4" t="str">
        <f>[4]Sheet1!B55</f>
        <v>4-05651</v>
      </c>
      <c r="H684" t="str">
        <f>[4]Sheet1!C55</f>
        <v>EXTINTOR MANUAL CON GAS CARBONICO, COLOR ROJO DE 4 KG, SOPORTE Y SE­ALIZACION. GARANTIA DE 12 MESES. EXTINTORES COLOR ROJO</v>
      </c>
      <c r="I684" s="5" t="str">
        <f>[4]Sheet1!E55</f>
        <v>Regular</v>
      </c>
    </row>
    <row r="685" spans="1:9" x14ac:dyDescent="0.25">
      <c r="A685" s="4">
        <f t="shared" si="10"/>
        <v>684</v>
      </c>
      <c r="B685" s="4" t="s">
        <v>12</v>
      </c>
      <c r="C685" t="str">
        <f>[4]Sheet1!$D$38</f>
        <v>MARIA RENE FLORES URZAGASTE</v>
      </c>
      <c r="E685" t="s">
        <v>135</v>
      </c>
      <c r="F685" t="s">
        <v>136</v>
      </c>
      <c r="G685" s="4" t="str">
        <f>[4]Sheet1!B56</f>
        <v>4-05229</v>
      </c>
      <c r="H685" t="str">
        <f>[4]Sheet1!C56</f>
        <v>IMPRESORA EPSON MULTIFUNCION L355 COLOR NEGRO SERIE: S42K161960, CABLE USB, CABLE DE ALIMENTACION Y MANUAL DE USUARIO</v>
      </c>
      <c r="I685" s="5" t="str">
        <f>[4]Sheet1!E56</f>
        <v>Regular</v>
      </c>
    </row>
    <row r="686" spans="1:9" x14ac:dyDescent="0.25">
      <c r="A686" s="4">
        <f t="shared" si="10"/>
        <v>685</v>
      </c>
      <c r="B686" s="4" t="s">
        <v>12</v>
      </c>
      <c r="C686" t="str">
        <f>[4]Sheet1!$D$38</f>
        <v>MARIA RENE FLORES URZAGASTE</v>
      </c>
      <c r="E686" t="s">
        <v>135</v>
      </c>
      <c r="F686" t="s">
        <v>136</v>
      </c>
      <c r="G686" s="4" t="str">
        <f>[4]Sheet1!B57</f>
        <v>4-05811</v>
      </c>
      <c r="H686" t="str">
        <f>[4]Sheet1!C57</f>
        <v>FLUJOMETRO PARA AFORO DE RIOS Y CANALES DE RIEGO:S/N - MARCA-JDC;MODELO-FLOWATCH; PROCEDENCIA-SUIZA.</v>
      </c>
      <c r="I686" s="5" t="str">
        <f>[4]Sheet1!E57</f>
        <v>Malo</v>
      </c>
    </row>
    <row r="687" spans="1:9" x14ac:dyDescent="0.25">
      <c r="A687" s="4">
        <f t="shared" si="10"/>
        <v>686</v>
      </c>
      <c r="B687" s="4" t="s">
        <v>12</v>
      </c>
      <c r="C687" t="str">
        <f>[4]Sheet1!$D$38</f>
        <v>MARIA RENE FLORES URZAGASTE</v>
      </c>
      <c r="E687" t="s">
        <v>135</v>
      </c>
      <c r="F687" t="s">
        <v>136</v>
      </c>
      <c r="G687" s="4" t="str">
        <f>[4]Sheet1!B58</f>
        <v>4-05810</v>
      </c>
      <c r="H687" t="str">
        <f>[4]Sheet1!C58</f>
        <v>FLUJOMETRO PARA AFORO DE RIOS Y CANALES DE RIEGO:S/N - MARCA-JDC;MODELO-FLOWATCH; PROCEDENCIA-SUIZA.</v>
      </c>
      <c r="I687" s="5" t="str">
        <f>[4]Sheet1!E58</f>
        <v>Regular</v>
      </c>
    </row>
    <row r="688" spans="1:9" x14ac:dyDescent="0.25">
      <c r="A688" s="4">
        <f t="shared" si="10"/>
        <v>687</v>
      </c>
      <c r="B688" s="4" t="s">
        <v>12</v>
      </c>
      <c r="C688" t="str">
        <f>[4]Sheet1!$D$38</f>
        <v>MARIA RENE FLORES URZAGASTE</v>
      </c>
      <c r="E688" t="s">
        <v>135</v>
      </c>
      <c r="F688" t="s">
        <v>136</v>
      </c>
      <c r="G688" s="4" t="str">
        <f>[4]Sheet1!B59</f>
        <v>4-09590</v>
      </c>
      <c r="H688" t="str">
        <f>[4]Sheet1!C59</f>
        <v>HI 98331 MEDIDOR CE Y T DIRECTO EN SUELO GROLINE COLOR BLANCO ELECT/SONDA 114MM DE PENETRACION DE ACERO INOX PESO 74GR (2.4OZ) DIMENSIONES 50X196X21MM</v>
      </c>
      <c r="I688" s="5" t="str">
        <f>[4]Sheet1!E59</f>
        <v>Regular</v>
      </c>
    </row>
    <row r="689" spans="1:9" x14ac:dyDescent="0.25">
      <c r="A689" s="4">
        <f t="shared" si="10"/>
        <v>688</v>
      </c>
      <c r="B689" s="4" t="s">
        <v>12</v>
      </c>
      <c r="C689" t="str">
        <f>[4]Sheet1!$D$38</f>
        <v>MARIA RENE FLORES URZAGASTE</v>
      </c>
      <c r="E689" t="s">
        <v>135</v>
      </c>
      <c r="F689" t="s">
        <v>136</v>
      </c>
      <c r="G689" s="4" t="str">
        <f>[4]Sheet1!B60</f>
        <v>4-09589</v>
      </c>
      <c r="H689" t="str">
        <f>[4]Sheet1!C60</f>
        <v>HI 98331 MEDIDOR CE Y T DIRECTO EN SUELO GROLINE COLOR BLANCO ELECT/SONDA 114MM DE PENETRACION DE ACERO INOX PESO 74GR (2.4OZ) DIMENSIONES 50X196X21MM</v>
      </c>
      <c r="I689" s="5" t="str">
        <f>[4]Sheet1!E60</f>
        <v>Regular</v>
      </c>
    </row>
    <row r="690" spans="1:9" x14ac:dyDescent="0.25">
      <c r="A690" s="4">
        <f t="shared" si="10"/>
        <v>689</v>
      </c>
      <c r="B690" s="4" t="s">
        <v>12</v>
      </c>
      <c r="C690" t="str">
        <f>[4]Sheet1!$D$38</f>
        <v>MARIA RENE FLORES URZAGASTE</v>
      </c>
      <c r="E690" t="s">
        <v>135</v>
      </c>
      <c r="F690" t="s">
        <v>136</v>
      </c>
      <c r="G690" s="4" t="str">
        <f>[4]Sheet1!B61</f>
        <v>4-11628</v>
      </c>
      <c r="H690" t="str">
        <f>[4]Sheet1!C61</f>
        <v>MEDICION DE PARAMETRO NUTRICIONALES MARCA STEP SYSTEMS GMBH MODELO COMBI 5000 S/N 931323</v>
      </c>
      <c r="I690" s="5" t="str">
        <f>[4]Sheet1!E61</f>
        <v>Regular</v>
      </c>
    </row>
    <row r="691" spans="1:9" x14ac:dyDescent="0.25">
      <c r="A691" s="4">
        <f t="shared" si="10"/>
        <v>690</v>
      </c>
      <c r="B691" s="4" t="s">
        <v>12</v>
      </c>
      <c r="C691" t="str">
        <f>[4]Sheet1!$D$38</f>
        <v>MARIA RENE FLORES URZAGASTE</v>
      </c>
      <c r="E691" t="s">
        <v>135</v>
      </c>
      <c r="F691" t="s">
        <v>136</v>
      </c>
      <c r="G691" s="4" t="str">
        <f>[4]Sheet1!B62</f>
        <v>4-11654</v>
      </c>
      <c r="H691" t="str">
        <f>[4]Sheet1!C62</f>
        <v>MEDICION DE HUMEDAD DE SUELOS MARCA SPECTRUM MODELO FIELDSCOUT NUMERO DE SERIE T35013439 PROCEDENCIA EEUU</v>
      </c>
      <c r="I691" s="5" t="str">
        <f>[4]Sheet1!E62</f>
        <v>Regular</v>
      </c>
    </row>
    <row r="692" spans="1:9" x14ac:dyDescent="0.25">
      <c r="A692" s="4">
        <f t="shared" si="10"/>
        <v>691</v>
      </c>
      <c r="B692" s="4" t="s">
        <v>12</v>
      </c>
      <c r="C692" t="str">
        <f>[4]Sheet1!$D$38</f>
        <v>MARIA RENE FLORES URZAGASTE</v>
      </c>
      <c r="E692" t="s">
        <v>135</v>
      </c>
      <c r="F692" t="s">
        <v>136</v>
      </c>
      <c r="G692" s="4" t="str">
        <f>[4]Sheet1!B63</f>
        <v>4-05796</v>
      </c>
      <c r="H692" t="str">
        <f>[4]Sheet1!C63</f>
        <v>CONDUCTIMETRO DE BOLSILLO (CONDUCTIVIDAD, TDS Y TEMPERATURA):S/N JC00524 MARCA-YSI;MODELO-EC30A; PROCEDENCIA-CHINA.</v>
      </c>
      <c r="I692" s="5" t="str">
        <f>[4]Sheet1!E63</f>
        <v>Regular</v>
      </c>
    </row>
    <row r="693" spans="1:9" x14ac:dyDescent="0.25">
      <c r="A693" s="4">
        <f t="shared" si="10"/>
        <v>692</v>
      </c>
      <c r="B693" s="4" t="s">
        <v>12</v>
      </c>
      <c r="C693" t="str">
        <f>[4]Sheet1!$D$38</f>
        <v>MARIA RENE FLORES URZAGASTE</v>
      </c>
      <c r="E693" t="s">
        <v>135</v>
      </c>
      <c r="F693" t="s">
        <v>136</v>
      </c>
      <c r="G693" s="4" t="str">
        <f>[4]Sheet1!B64</f>
        <v>4-05795</v>
      </c>
      <c r="H693" t="str">
        <f>[4]Sheet1!C64</f>
        <v>CONDUCTIMETRO DE BOLSILLO (CONDUCTIVIDAD, TDS Y TEMPERATURA):S/N JC00515 MARCA-YSI;MODELO-EC30A; PROCEDENCIA-CHINA.</v>
      </c>
      <c r="I693" s="5" t="str">
        <f>[4]Sheet1!E64</f>
        <v>Regular</v>
      </c>
    </row>
    <row r="694" spans="1:9" x14ac:dyDescent="0.25">
      <c r="A694" s="4">
        <f t="shared" si="10"/>
        <v>693</v>
      </c>
      <c r="B694" s="4" t="s">
        <v>12</v>
      </c>
      <c r="C694" t="str">
        <f>[5]Sheet1!$D$47</f>
        <v>WILSON JUAN PABLO NACIMENTO YAIBONA</v>
      </c>
      <c r="E694" t="s">
        <v>137</v>
      </c>
      <c r="F694" t="s">
        <v>138</v>
      </c>
      <c r="G694" s="4" t="str">
        <f>[5]Sheet1!B3</f>
        <v>4-09855</v>
      </c>
      <c r="H694" t="str">
        <f>[5]Sheet1!C3</f>
        <v>COMP_PORTATIL MARCA DELL SERIE N¬ CWDWZT3 MEMORIA DE 8GB DISCO DURO 256GBSSD AHCI SATA ROCESADOR 5 3 4PANTALLA IPS HD 15 6 CON CARGADOR</v>
      </c>
      <c r="I694" s="5" t="str">
        <f>[5]Sheet1!E3</f>
        <v>Regular</v>
      </c>
    </row>
    <row r="695" spans="1:9" x14ac:dyDescent="0.25">
      <c r="A695" s="4">
        <f t="shared" si="10"/>
        <v>694</v>
      </c>
      <c r="B695" s="4" t="s">
        <v>12</v>
      </c>
      <c r="C695" t="str">
        <f>[5]Sheet1!$D$47</f>
        <v>WILSON JUAN PABLO NACIMENTO YAIBONA</v>
      </c>
      <c r="E695" t="s">
        <v>137</v>
      </c>
      <c r="F695" t="s">
        <v>138</v>
      </c>
      <c r="G695" s="4" t="str">
        <f>[5]Sheet1!B4</f>
        <v>4-09516</v>
      </c>
      <c r="H695" t="str">
        <f>[5]Sheet1!C4</f>
        <v>ENTRENADOR DEL CICLO DE REFRIGERACION MARCA: KTENG MODELO: KTE1000BA SERIE: KTE-1000BA PROCEDENCIA COREA</v>
      </c>
      <c r="I695" s="5" t="str">
        <f>[5]Sheet1!E4</f>
        <v>Regular</v>
      </c>
    </row>
    <row r="696" spans="1:9" x14ac:dyDescent="0.25">
      <c r="A696" s="4">
        <f t="shared" si="10"/>
        <v>695</v>
      </c>
      <c r="B696" s="4" t="s">
        <v>12</v>
      </c>
      <c r="C696" t="str">
        <f>[5]Sheet1!$D$47</f>
        <v>WILSON JUAN PABLO NACIMENTO YAIBONA</v>
      </c>
      <c r="E696" t="s">
        <v>137</v>
      </c>
      <c r="F696" t="s">
        <v>138</v>
      </c>
      <c r="G696" s="4" t="str">
        <f>[5]Sheet1!B5</f>
        <v>4-09909</v>
      </c>
      <c r="H696" t="str">
        <f>[5]Sheet1!C5</f>
        <v>TORNO PARA METAL MARCA:LQ LUSQTOFF MODELO:TBL-25-700 TAMA­O 700MM POTENCIA 750W PESO:150KG MATERIAL METAL:COLOR NARANJA</v>
      </c>
      <c r="I696" s="5" t="str">
        <f>[5]Sheet1!E5</f>
        <v>Regular</v>
      </c>
    </row>
    <row r="697" spans="1:9" x14ac:dyDescent="0.25">
      <c r="A697" s="4">
        <f t="shared" si="10"/>
        <v>696</v>
      </c>
      <c r="B697" s="4" t="s">
        <v>12</v>
      </c>
      <c r="C697" t="str">
        <f>[5]Sheet1!$D$47</f>
        <v>WILSON JUAN PABLO NACIMENTO YAIBONA</v>
      </c>
      <c r="E697" t="s">
        <v>137</v>
      </c>
      <c r="F697" t="s">
        <v>138</v>
      </c>
      <c r="G697" s="4" t="str">
        <f>[5]Sheet1!B6</f>
        <v>4-09620</v>
      </c>
      <c r="H697" t="str">
        <f>[5]Sheet1!C6</f>
        <v>GPS PARA VEHICULO VOLTAJE DE ALIMENTACION DE 5A35DVC C/INDICADOR LED MEMORIA PARA 2000 PUNTOS DE FRONTERA PROTECCION IP 54</v>
      </c>
      <c r="I697" s="5" t="str">
        <f>[5]Sheet1!E6</f>
        <v>Regular</v>
      </c>
    </row>
    <row r="698" spans="1:9" x14ac:dyDescent="0.25">
      <c r="A698" s="4">
        <f t="shared" si="10"/>
        <v>697</v>
      </c>
      <c r="B698" s="4" t="s">
        <v>12</v>
      </c>
      <c r="C698" t="str">
        <f>[5]Sheet1!$D$47</f>
        <v>WILSON JUAN PABLO NACIMENTO YAIBONA</v>
      </c>
      <c r="E698" t="s">
        <v>137</v>
      </c>
      <c r="F698" t="s">
        <v>138</v>
      </c>
      <c r="G698" s="4" t="str">
        <f>[5]Sheet1!B7</f>
        <v>4-09619</v>
      </c>
      <c r="H698" t="str">
        <f>[5]Sheet1!C7</f>
        <v>GPS PARA VEHICULO VOLTAJE DE ALIMENTACION DE 5A35DVC C/INDICADOR LED MEMORIA PARA 2000 PUNTOS DE FRONTERA TEM.DE 40A100¬C</v>
      </c>
      <c r="I698" s="5" t="str">
        <f>[5]Sheet1!E7</f>
        <v>Regular</v>
      </c>
    </row>
    <row r="699" spans="1:9" x14ac:dyDescent="0.25">
      <c r="A699" s="4">
        <f t="shared" si="10"/>
        <v>698</v>
      </c>
      <c r="B699" s="4" t="s">
        <v>12</v>
      </c>
      <c r="C699" t="str">
        <f>[5]Sheet1!$D$47</f>
        <v>WILSON JUAN PABLO NACIMENTO YAIBONA</v>
      </c>
      <c r="E699" t="s">
        <v>137</v>
      </c>
      <c r="F699" t="s">
        <v>138</v>
      </c>
      <c r="G699" s="4" t="str">
        <f>[5]Sheet1!B8</f>
        <v>4-09618</v>
      </c>
      <c r="H699" t="str">
        <f>[5]Sheet1!C8</f>
        <v>GPS PARA VEHICULO VOLTAJE DE ALIMENTACION DE 5A35DVC C/INDICADOR LED MEMORIA PARA 2000 PUNTOS DE FRONTERA TEM.DE 40A100¬C PROTECCION IP 54</v>
      </c>
      <c r="I699" s="5" t="str">
        <f>[5]Sheet1!E8</f>
        <v>Regular</v>
      </c>
    </row>
    <row r="700" spans="1:9" x14ac:dyDescent="0.25">
      <c r="A700" s="4">
        <f t="shared" si="10"/>
        <v>699</v>
      </c>
      <c r="B700" s="4" t="s">
        <v>12</v>
      </c>
      <c r="C700" t="str">
        <f>[5]Sheet1!$D$47</f>
        <v>WILSON JUAN PABLO NACIMENTO YAIBONA</v>
      </c>
      <c r="E700" t="s">
        <v>137</v>
      </c>
      <c r="F700" t="s">
        <v>138</v>
      </c>
      <c r="G700" s="4" t="str">
        <f>[5]Sheet1!B9</f>
        <v>4-09617</v>
      </c>
      <c r="H700" t="str">
        <f>[5]Sheet1!C9</f>
        <v>GPS VOLTAJE DE ALIMENTACION DE5V VELOCIDAD 515M/S-1854KM/H C/IND.LED MEMORIA 2000 PUNTOS EN FRONTERA TEMP.40A100¬ CARGA SOLAR DE 1.2WATTS</v>
      </c>
      <c r="I700" s="5" t="str">
        <f>[5]Sheet1!E9</f>
        <v>Regular</v>
      </c>
    </row>
    <row r="701" spans="1:9" x14ac:dyDescent="0.25">
      <c r="A701" s="4">
        <f t="shared" si="10"/>
        <v>700</v>
      </c>
      <c r="B701" s="4" t="s">
        <v>12</v>
      </c>
      <c r="C701" t="str">
        <f>[5]Sheet1!$D$47</f>
        <v>WILSON JUAN PABLO NACIMENTO YAIBONA</v>
      </c>
      <c r="E701" t="s">
        <v>137</v>
      </c>
      <c r="F701" t="s">
        <v>138</v>
      </c>
      <c r="G701" s="4" t="str">
        <f>[5]Sheet1!B10</f>
        <v>4-09616</v>
      </c>
      <c r="H701" t="str">
        <f>[5]Sheet1!C10</f>
        <v>GPS VOLTAJE DE ALIMENTACION DE5V VELOCIDAD 515M/S-1854KM/H C/IND.LED MEMORIA 2000 PUNTOS EN FRONTERA TEMP.40A100¬ CARGA SOLAR</v>
      </c>
      <c r="I701" s="5" t="str">
        <f>[5]Sheet1!E10</f>
        <v>Regular</v>
      </c>
    </row>
    <row r="702" spans="1:9" x14ac:dyDescent="0.25">
      <c r="A702" s="4">
        <f t="shared" si="10"/>
        <v>701</v>
      </c>
      <c r="B702" s="4" t="s">
        <v>12</v>
      </c>
      <c r="C702" t="str">
        <f>[5]Sheet1!$D$47</f>
        <v>WILSON JUAN PABLO NACIMENTO YAIBONA</v>
      </c>
      <c r="E702" t="s">
        <v>137</v>
      </c>
      <c r="F702" t="s">
        <v>138</v>
      </c>
      <c r="G702" s="4" t="str">
        <f>[5]Sheet1!B11</f>
        <v>4-09615</v>
      </c>
      <c r="H702" t="str">
        <f>[5]Sheet1!C11</f>
        <v>GPS VOLTAJE DE ALIMENTACION DE5V VELOCIDAD 515M/S-1854KM/H C/IND.LED MEMORIA 2000 PUNTOS EN FRONTERA CARGA SOLAR DE 1.2WATTS PROTECION IP55</v>
      </c>
      <c r="I702" s="5" t="str">
        <f>[5]Sheet1!E11</f>
        <v>Regular</v>
      </c>
    </row>
    <row r="703" spans="1:9" x14ac:dyDescent="0.25">
      <c r="A703" s="4">
        <f t="shared" si="10"/>
        <v>702</v>
      </c>
      <c r="B703" s="4" t="s">
        <v>12</v>
      </c>
      <c r="C703" t="str">
        <f>[5]Sheet1!$D$47</f>
        <v>WILSON JUAN PABLO NACIMENTO YAIBONA</v>
      </c>
      <c r="E703" t="s">
        <v>137</v>
      </c>
      <c r="F703" t="s">
        <v>138</v>
      </c>
      <c r="G703" s="4" t="str">
        <f>[5]Sheet1!B12</f>
        <v>4-011369</v>
      </c>
      <c r="H703" t="str">
        <f>[5]Sheet1!C12</f>
        <v>KIT DE HERRAMIENTAS DE MEDICION DIGITAL MARCA ULTRA PRAZISION MODELO 6850 201 PROCEDENCIA ALEMANIA SERIE UP68523010</v>
      </c>
      <c r="I703" s="5" t="str">
        <f>[5]Sheet1!E12</f>
        <v>Regular</v>
      </c>
    </row>
    <row r="704" spans="1:9" x14ac:dyDescent="0.25">
      <c r="A704" s="4">
        <f t="shared" si="10"/>
        <v>703</v>
      </c>
      <c r="B704" s="4" t="s">
        <v>12</v>
      </c>
      <c r="C704" t="str">
        <f>[5]Sheet1!$D$47</f>
        <v>WILSON JUAN PABLO NACIMENTO YAIBONA</v>
      </c>
      <c r="E704" t="s">
        <v>137</v>
      </c>
      <c r="F704" t="s">
        <v>138</v>
      </c>
      <c r="G704" s="4" t="str">
        <f>[5]Sheet1!B13</f>
        <v>4-09188</v>
      </c>
      <c r="H704" t="str">
        <f>[5]Sheet1!C13</f>
        <v>ESMERIL ELECTRICO N¬ DE PARTE GTT44567 SERIE: NY167894</v>
      </c>
      <c r="I704" s="5" t="str">
        <f>[5]Sheet1!E13</f>
        <v>Regular</v>
      </c>
    </row>
    <row r="705" spans="1:9" x14ac:dyDescent="0.25">
      <c r="A705" s="4">
        <f t="shared" si="10"/>
        <v>704</v>
      </c>
      <c r="B705" s="4" t="s">
        <v>12</v>
      </c>
      <c r="C705" t="str">
        <f>[5]Sheet1!$D$47</f>
        <v>WILSON JUAN PABLO NACIMENTO YAIBONA</v>
      </c>
      <c r="E705" t="s">
        <v>137</v>
      </c>
      <c r="F705" t="s">
        <v>138</v>
      </c>
      <c r="G705" s="4" t="str">
        <f>[5]Sheet1!B14</f>
        <v>4-09179</v>
      </c>
      <c r="H705" t="str">
        <f>[5]Sheet1!C14</f>
        <v>RETIFICADORA ELECTRICA N¬ DE PARTE GGI55778 SERIE: GTR5676</v>
      </c>
      <c r="I705" s="5" t="str">
        <f>[5]Sheet1!E14</f>
        <v>Regular</v>
      </c>
    </row>
    <row r="706" spans="1:9" x14ac:dyDescent="0.25">
      <c r="A706" s="4">
        <f t="shared" si="10"/>
        <v>705</v>
      </c>
      <c r="B706" s="4" t="s">
        <v>12</v>
      </c>
      <c r="C706" t="str">
        <f>[5]Sheet1!$D$47</f>
        <v>WILSON JUAN PABLO NACIMENTO YAIBONA</v>
      </c>
      <c r="E706" t="s">
        <v>137</v>
      </c>
      <c r="F706" t="s">
        <v>138</v>
      </c>
      <c r="G706" s="4" t="str">
        <f>[5]Sheet1!B15</f>
        <v>4-09177</v>
      </c>
      <c r="H706" t="str">
        <f>[5]Sheet1!C15</f>
        <v>TALADRO MANUAL MARCA BOSH N¬ DE PARTE TTY454677 SERIE: YY156781</v>
      </c>
      <c r="I706" s="5" t="str">
        <f>[5]Sheet1!E15</f>
        <v>Regular</v>
      </c>
    </row>
    <row r="707" spans="1:9" x14ac:dyDescent="0.25">
      <c r="A707" s="4">
        <f t="shared" si="10"/>
        <v>706</v>
      </c>
      <c r="B707" s="4" t="s">
        <v>12</v>
      </c>
      <c r="C707" t="str">
        <f>[5]Sheet1!$D$47</f>
        <v>WILSON JUAN PABLO NACIMENTO YAIBONA</v>
      </c>
      <c r="E707" t="s">
        <v>137</v>
      </c>
      <c r="F707" t="s">
        <v>138</v>
      </c>
      <c r="G707" s="4" t="str">
        <f>[5]Sheet1!B16</f>
        <v>4-09176</v>
      </c>
      <c r="H707" t="str">
        <f>[5]Sheet1!C16</f>
        <v>TALADRO DE BANCO MARCA TOYOMAK N¬ PARTE ERT335578 SERIE: TTT45677</v>
      </c>
      <c r="I707" s="5" t="str">
        <f>[5]Sheet1!E16</f>
        <v>Regular</v>
      </c>
    </row>
    <row r="708" spans="1:9" x14ac:dyDescent="0.25">
      <c r="A708" s="4">
        <f t="shared" ref="A708:A738" si="11">A707+1</f>
        <v>707</v>
      </c>
      <c r="B708" s="4" t="s">
        <v>12</v>
      </c>
      <c r="C708" t="str">
        <f>[5]Sheet1!$D$47</f>
        <v>WILSON JUAN PABLO NACIMENTO YAIBONA</v>
      </c>
      <c r="E708" t="s">
        <v>137</v>
      </c>
      <c r="F708" t="s">
        <v>138</v>
      </c>
      <c r="G708" s="4" t="str">
        <f>[5]Sheet1!B17</f>
        <v>4-07155</v>
      </c>
      <c r="H708" t="str">
        <f>[5]Sheet1!C17</f>
        <v>GENERADOR DE LUZ, MATERIAL METALICO, COLOR NEGRO NARANJA, MARCA AMAHA, MODELO LT5000B-6-LPG, GENERADOR DE LUZ DE 3,2 KW, A GASOLINA Y GLP</v>
      </c>
      <c r="I708" s="5" t="str">
        <f>[5]Sheet1!E17</f>
        <v>Regular</v>
      </c>
    </row>
    <row r="709" spans="1:9" x14ac:dyDescent="0.25">
      <c r="A709" s="4">
        <f t="shared" si="11"/>
        <v>708</v>
      </c>
      <c r="B709" s="4" t="s">
        <v>12</v>
      </c>
      <c r="C709" t="str">
        <f>[5]Sheet1!$D$47</f>
        <v>WILSON JUAN PABLO NACIMENTO YAIBONA</v>
      </c>
      <c r="E709" t="s">
        <v>137</v>
      </c>
      <c r="F709" t="s">
        <v>138</v>
      </c>
      <c r="G709" s="4" t="str">
        <f>[5]Sheet1!B18</f>
        <v>4-011368</v>
      </c>
      <c r="H709" t="str">
        <f>[5]Sheet1!C18</f>
        <v>TERMOMETRO INFRARROJO PROFESIONAL MARCA TROTEC MODELO TP10 PROCEDENCIA ALEMANIA SERIE 210321779</v>
      </c>
      <c r="I709" s="5" t="str">
        <f>[5]Sheet1!E18</f>
        <v>Regular</v>
      </c>
    </row>
    <row r="710" spans="1:9" x14ac:dyDescent="0.25">
      <c r="A710" s="4">
        <f t="shared" si="11"/>
        <v>709</v>
      </c>
      <c r="B710" s="4" t="s">
        <v>12</v>
      </c>
      <c r="C710" t="str">
        <f>[5]Sheet1!$D$47</f>
        <v>WILSON JUAN PABLO NACIMENTO YAIBONA</v>
      </c>
      <c r="E710" t="s">
        <v>137</v>
      </c>
      <c r="F710" t="s">
        <v>138</v>
      </c>
      <c r="G710" s="4" t="str">
        <f>[5]Sheet1!B19</f>
        <v>4-011403</v>
      </c>
      <c r="H710" t="str">
        <f>[5]Sheet1!C19</f>
        <v>TERMOMETRO INFRARROJO PROFESIONAL MARCA TROTEC MODELO BT10 PROCEDENCIA ALEMANIA SERIE 210321801</v>
      </c>
      <c r="I710" s="5" t="str">
        <f>[5]Sheet1!E19</f>
        <v>Regular</v>
      </c>
    </row>
    <row r="711" spans="1:9" x14ac:dyDescent="0.25">
      <c r="A711" s="4">
        <f t="shared" si="11"/>
        <v>710</v>
      </c>
      <c r="B711" s="4" t="s">
        <v>12</v>
      </c>
      <c r="C711" t="str">
        <f>[5]Sheet1!$D$47</f>
        <v>WILSON JUAN PABLO NACIMENTO YAIBONA</v>
      </c>
      <c r="E711" t="s">
        <v>137</v>
      </c>
      <c r="F711" t="s">
        <v>138</v>
      </c>
      <c r="G711" s="4" t="str">
        <f>[5]Sheet1!B20</f>
        <v>4-09411</v>
      </c>
      <c r="H711" t="str">
        <f>[5]Sheet1!C20</f>
        <v>EQUIPO DE SECADO POR CONVECCION MARCA: GUNT MODELO: CE130 SERIE: 234077 PROCEDENCIA ALEMANA</v>
      </c>
      <c r="I711" s="5" t="str">
        <f>[5]Sheet1!E20</f>
        <v>Regular</v>
      </c>
    </row>
    <row r="712" spans="1:9" x14ac:dyDescent="0.25">
      <c r="A712" s="4">
        <f t="shared" si="11"/>
        <v>711</v>
      </c>
      <c r="B712" s="4" t="s">
        <v>12</v>
      </c>
      <c r="C712" t="str">
        <f>[5]Sheet1!$D$47</f>
        <v>WILSON JUAN PABLO NACIMENTO YAIBONA</v>
      </c>
      <c r="E712" t="s">
        <v>137</v>
      </c>
      <c r="F712" t="s">
        <v>138</v>
      </c>
      <c r="G712" s="4" t="str">
        <f>[5]Sheet1!B21</f>
        <v>4-05939</v>
      </c>
      <c r="H712" t="str">
        <f>[5]Sheet1!C21</f>
        <v>FUENTE REGULABLE DE CORRIENTE ALTERNA REGULABLE, DE 0,50V 5 AMP.</v>
      </c>
      <c r="I712" s="5" t="str">
        <f>[5]Sheet1!E21</f>
        <v>Regular</v>
      </c>
    </row>
    <row r="713" spans="1:9" x14ac:dyDescent="0.25">
      <c r="A713" s="4">
        <f t="shared" si="11"/>
        <v>712</v>
      </c>
      <c r="B713" s="4" t="s">
        <v>12</v>
      </c>
      <c r="C713" t="str">
        <f>[5]Sheet1!$D$47</f>
        <v>WILSON JUAN PABLO NACIMENTO YAIBONA</v>
      </c>
      <c r="E713" t="s">
        <v>137</v>
      </c>
      <c r="F713" t="s">
        <v>138</v>
      </c>
      <c r="G713" s="4" t="str">
        <f>[5]Sheet1!B22</f>
        <v>4-09178</v>
      </c>
      <c r="H713" t="str">
        <f>[5]Sheet1!C22</f>
        <v>AMOLADORA CON DISCO DE 7 PULGADAS MARCA BOSH N¬ DE PARTE GYY44478 SERIE: NUY5647</v>
      </c>
      <c r="I713" s="5" t="str">
        <f>[5]Sheet1!E22</f>
        <v>Regular</v>
      </c>
    </row>
    <row r="714" spans="1:9" x14ac:dyDescent="0.25">
      <c r="A714" s="4">
        <f t="shared" si="11"/>
        <v>713</v>
      </c>
      <c r="B714" s="4" t="s">
        <v>12</v>
      </c>
      <c r="C714" t="str">
        <f>[5]Sheet1!$D$47</f>
        <v>WILSON JUAN PABLO NACIMENTO YAIBONA</v>
      </c>
      <c r="E714" t="s">
        <v>137</v>
      </c>
      <c r="F714" t="s">
        <v>138</v>
      </c>
      <c r="G714" s="4" t="str">
        <f>[5]Sheet1!B23</f>
        <v>4-09168</v>
      </c>
      <c r="H714" t="str">
        <f>[5]Sheet1!C23</f>
        <v>MOTOR DE DIESEL ESTACIONARIO A DIESEL DE 4 TIEMPOS DE 3600 RPM 4,7 HP DE POTENCIA 1 PISTON REFRIGERADO POR AIRE N¬ DE PARTE WTR4563 S/N:RRJ54778</v>
      </c>
      <c r="I714" s="5" t="str">
        <f>[5]Sheet1!E23</f>
        <v>Regular</v>
      </c>
    </row>
    <row r="715" spans="1:9" x14ac:dyDescent="0.25">
      <c r="A715" s="4">
        <f t="shared" si="11"/>
        <v>714</v>
      </c>
      <c r="B715" s="4" t="s">
        <v>12</v>
      </c>
      <c r="C715" t="str">
        <f>[5]Sheet1!$D$47</f>
        <v>WILSON JUAN PABLO NACIMENTO YAIBONA</v>
      </c>
      <c r="E715" t="s">
        <v>137</v>
      </c>
      <c r="F715" t="s">
        <v>138</v>
      </c>
      <c r="G715" s="4" t="str">
        <f>[5]Sheet1!B24</f>
        <v>4-09218</v>
      </c>
      <c r="H715" t="str">
        <f>[5]Sheet1!C24</f>
        <v>EQUIPO DE AIRE ACONDICIONADO TIPO DE 60000 BTU INVERTER MARCA COMFEE EVAPORADOR S/N: 2404216860179080160035 CONDENSADOR S/N: 2404216860279070160047</v>
      </c>
      <c r="I715" s="5" t="str">
        <f>[5]Sheet1!E24</f>
        <v>Regular</v>
      </c>
    </row>
    <row r="716" spans="1:9" x14ac:dyDescent="0.25">
      <c r="A716" s="4">
        <f t="shared" si="11"/>
        <v>715</v>
      </c>
      <c r="B716" s="4" t="s">
        <v>12</v>
      </c>
      <c r="C716" t="str">
        <f>[5]Sheet1!$D$47</f>
        <v>WILSON JUAN PABLO NACIMENTO YAIBONA</v>
      </c>
      <c r="E716" t="s">
        <v>137</v>
      </c>
      <c r="F716" t="s">
        <v>138</v>
      </c>
      <c r="G716" s="4" t="str">
        <f>[5]Sheet1!B25</f>
        <v>4-09221</v>
      </c>
      <c r="H716" t="str">
        <f>[5]Sheet1!C25</f>
        <v>EQUIPO DE AIRE ACONDICIONADO TIPO DE 60000 BTU INVERTER MARCA COMFEE EVAPORADOR S/N: 2404216860179080160034 CONDENSADOR S/N: 2404216860279070160011</v>
      </c>
      <c r="I716" s="5" t="str">
        <f>[5]Sheet1!E25</f>
        <v>Regular</v>
      </c>
    </row>
    <row r="717" spans="1:9" x14ac:dyDescent="0.25">
      <c r="A717" s="4">
        <f t="shared" si="11"/>
        <v>716</v>
      </c>
      <c r="B717" s="4" t="s">
        <v>12</v>
      </c>
      <c r="C717" t="str">
        <f>[5]Sheet1!$D$47</f>
        <v>WILSON JUAN PABLO NACIMENTO YAIBONA</v>
      </c>
      <c r="E717" t="s">
        <v>137</v>
      </c>
      <c r="F717" t="s">
        <v>138</v>
      </c>
      <c r="G717" s="4" t="str">
        <f>[5]Sheet1!B26</f>
        <v>4-011366</v>
      </c>
      <c r="H717" t="str">
        <f>[5]Sheet1!C26</f>
        <v>ANEMOMETRO MARCA TROTEC MODELO BA16WP PROCEDENCIA ALEMANIA SERIE 22081538</v>
      </c>
      <c r="I717" s="5" t="str">
        <f>[5]Sheet1!E26</f>
        <v>Regular</v>
      </c>
    </row>
    <row r="718" spans="1:9" x14ac:dyDescent="0.25">
      <c r="A718" s="4">
        <f t="shared" si="11"/>
        <v>717</v>
      </c>
      <c r="B718" s="4" t="s">
        <v>12</v>
      </c>
      <c r="C718" t="str">
        <f>[5]Sheet1!$D$47</f>
        <v>WILSON JUAN PABLO NACIMENTO YAIBONA</v>
      </c>
      <c r="E718" t="s">
        <v>137</v>
      </c>
      <c r="F718" t="s">
        <v>138</v>
      </c>
      <c r="G718" s="4" t="str">
        <f>[5]Sheet1!B27</f>
        <v>2-00996</v>
      </c>
      <c r="H718" t="str">
        <f>[5]Sheet1!C27</f>
        <v>GASOGENO DE 2 KG.TANQUE REFORZADO DUPLEX INSUSTRIA ARGENTINA</v>
      </c>
      <c r="I718" s="5" t="str">
        <f>[5]Sheet1!E27</f>
        <v>Regular</v>
      </c>
    </row>
    <row r="719" spans="1:9" x14ac:dyDescent="0.25">
      <c r="A719" s="4">
        <f t="shared" si="11"/>
        <v>718</v>
      </c>
      <c r="B719" s="4" t="s">
        <v>12</v>
      </c>
      <c r="C719" t="str">
        <f>[5]Sheet1!$D$47</f>
        <v>WILSON JUAN PABLO NACIMENTO YAIBONA</v>
      </c>
      <c r="E719" t="s">
        <v>137</v>
      </c>
      <c r="F719" t="s">
        <v>138</v>
      </c>
      <c r="G719" s="4" t="str">
        <f>[5]Sheet1!B28</f>
        <v>2-00997</v>
      </c>
      <c r="H719" t="str">
        <f>[5]Sheet1!C28</f>
        <v>COMPRESORA DE AIRE SILENCIOSO DE 1HP TANQUE DE 20 LTS MOD.XY37-20 MARCA XINAYA INDUSTRIA INDONESIA</v>
      </c>
      <c r="I719" s="5" t="str">
        <f>[5]Sheet1!E28</f>
        <v>Regular</v>
      </c>
    </row>
    <row r="720" spans="1:9" x14ac:dyDescent="0.25">
      <c r="A720" s="4">
        <f t="shared" si="11"/>
        <v>719</v>
      </c>
      <c r="B720" s="4" t="s">
        <v>12</v>
      </c>
      <c r="C720" t="str">
        <f>[5]Sheet1!$D$47</f>
        <v>WILSON JUAN PABLO NACIMENTO YAIBONA</v>
      </c>
      <c r="E720" t="s">
        <v>137</v>
      </c>
      <c r="F720" t="s">
        <v>138</v>
      </c>
      <c r="G720" s="4" t="str">
        <f>[5]Sheet1!B29</f>
        <v>4-09186</v>
      </c>
      <c r="H720" t="str">
        <f>[5]Sheet1!C29</f>
        <v>COMPRESORA DE 3HP N¬ DE PARTE SST34526 SERIE: RRRT56567</v>
      </c>
      <c r="I720" s="5" t="str">
        <f>[5]Sheet1!E29</f>
        <v>Regular</v>
      </c>
    </row>
    <row r="721" spans="1:9" x14ac:dyDescent="0.25">
      <c r="A721" s="4">
        <f t="shared" si="11"/>
        <v>720</v>
      </c>
      <c r="B721" s="4" t="s">
        <v>12</v>
      </c>
      <c r="C721" t="str">
        <f>[5]Sheet1!$D$47</f>
        <v>WILSON JUAN PABLO NACIMENTO YAIBONA</v>
      </c>
      <c r="E721" t="s">
        <v>137</v>
      </c>
      <c r="F721" t="s">
        <v>138</v>
      </c>
      <c r="G721" s="4" t="str">
        <f>[5]Sheet1!B30</f>
        <v>4-11653</v>
      </c>
      <c r="H721" t="str">
        <f>[5]Sheet1!C30</f>
        <v>ESTACION METEROLOGICA MARCA SPECTRUM MODELO WATCHDOG NUMERO DE SERIE 55450160 PROCEDENCIA EEUU</v>
      </c>
      <c r="I721" s="5" t="str">
        <f>[5]Sheet1!E30</f>
        <v>Regular</v>
      </c>
    </row>
    <row r="722" spans="1:9" x14ac:dyDescent="0.25">
      <c r="A722" s="4">
        <f t="shared" si="11"/>
        <v>721</v>
      </c>
      <c r="B722" s="4" t="s">
        <v>12</v>
      </c>
      <c r="C722" t="str">
        <f>[5]Sheet1!$D$47</f>
        <v>WILSON JUAN PABLO NACIMENTO YAIBONA</v>
      </c>
      <c r="E722" t="s">
        <v>137</v>
      </c>
      <c r="F722" t="s">
        <v>138</v>
      </c>
      <c r="G722" s="4" t="str">
        <f>[5]Sheet1!B31</f>
        <v>4-09410</v>
      </c>
      <c r="H722" t="str">
        <f>[5]Sheet1!C31</f>
        <v>EQUIPO DE TRANSFERENCIA DE CALOR POR CONVECCION MARCA: GUNT MODELO: WL440 SERIE: 234076, PROCEDENCIA ALEMANA</v>
      </c>
      <c r="I722" s="5" t="str">
        <f>[5]Sheet1!E31</f>
        <v>Regular</v>
      </c>
    </row>
    <row r="723" spans="1:9" x14ac:dyDescent="0.25">
      <c r="A723" s="4">
        <f t="shared" si="11"/>
        <v>722</v>
      </c>
      <c r="B723" s="4" t="s">
        <v>12</v>
      </c>
      <c r="C723" t="str">
        <f>[5]Sheet1!$D$47</f>
        <v>WILSON JUAN PABLO NACIMENTO YAIBONA</v>
      </c>
      <c r="E723" t="s">
        <v>137</v>
      </c>
      <c r="F723" t="s">
        <v>138</v>
      </c>
      <c r="G723" s="4" t="str">
        <f>[5]Sheet1!B32</f>
        <v>4-09183</v>
      </c>
      <c r="H723" t="str">
        <f>[5]Sheet1!C32</f>
        <v>MAQUINA DE SOLDAR TIG DE 300 AMP N¬ DE PARTE DDT33879 SERIE: BTT90007</v>
      </c>
      <c r="I723" s="5" t="str">
        <f>[5]Sheet1!E32</f>
        <v>Regular</v>
      </c>
    </row>
    <row r="724" spans="1:9" x14ac:dyDescent="0.25">
      <c r="A724" s="4">
        <f t="shared" si="11"/>
        <v>723</v>
      </c>
      <c r="B724" s="4" t="s">
        <v>12</v>
      </c>
      <c r="C724" t="str">
        <f>[5]Sheet1!$D$47</f>
        <v>WILSON JUAN PABLO NACIMENTO YAIBONA</v>
      </c>
      <c r="E724" t="s">
        <v>137</v>
      </c>
      <c r="F724" t="s">
        <v>138</v>
      </c>
      <c r="G724" s="4" t="str">
        <f>[5]Sheet1!B33</f>
        <v>4-09187</v>
      </c>
      <c r="H724" t="str">
        <f>[5]Sheet1!C33</f>
        <v>MAQUINA DE SOLDAR DE BOBINA DE 400 AMP. N¬ DE PARTE GGT56489 SERIE: RRRT54327</v>
      </c>
      <c r="I724" s="5" t="str">
        <f>[5]Sheet1!E33</f>
        <v>Regular</v>
      </c>
    </row>
    <row r="725" spans="1:9" x14ac:dyDescent="0.25">
      <c r="A725" s="4">
        <f t="shared" si="11"/>
        <v>724</v>
      </c>
      <c r="B725" s="4" t="s">
        <v>12</v>
      </c>
      <c r="C725" t="str">
        <f>[5]Sheet1!$D$47</f>
        <v>WILSON JUAN PABLO NACIMENTO YAIBONA</v>
      </c>
      <c r="E725" t="s">
        <v>137</v>
      </c>
      <c r="F725" t="s">
        <v>138</v>
      </c>
      <c r="G725" s="4" t="str">
        <f>[5]Sheet1!B34</f>
        <v>4-09175</v>
      </c>
      <c r="H725" t="str">
        <f>[5]Sheet1!C34</f>
        <v>EQUIPO DE SOLDADURA DE OXIACETILENICO DE 4 KL, N¬ DE PARTE ERT343637 SERIE: TTT23456</v>
      </c>
      <c r="I725" s="5" t="str">
        <f>[5]Sheet1!E34</f>
        <v>Regular</v>
      </c>
    </row>
    <row r="726" spans="1:9" x14ac:dyDescent="0.25">
      <c r="A726" s="4">
        <f t="shared" si="11"/>
        <v>725</v>
      </c>
      <c r="B726" s="4" t="s">
        <v>12</v>
      </c>
      <c r="C726" t="str">
        <f>[5]Sheet1!$D$47</f>
        <v>WILSON JUAN PABLO NACIMENTO YAIBONA</v>
      </c>
      <c r="E726" t="s">
        <v>137</v>
      </c>
      <c r="F726" t="s">
        <v>138</v>
      </c>
      <c r="G726" s="4" t="str">
        <f>[5]Sheet1!B35</f>
        <v>4-09182</v>
      </c>
      <c r="H726" t="str">
        <f>[5]Sheet1!C35</f>
        <v>PRENSA DE BANCO MEDIANO COLOR ROJO N¬ 6 N¬ DE PARTE FGT45699 SERIE: NNB5289</v>
      </c>
      <c r="I726" s="5" t="str">
        <f>[5]Sheet1!E35</f>
        <v>Regular</v>
      </c>
    </row>
    <row r="727" spans="1:9" x14ac:dyDescent="0.25">
      <c r="A727" s="4">
        <f t="shared" si="11"/>
        <v>726</v>
      </c>
      <c r="B727" s="4" t="s">
        <v>12</v>
      </c>
      <c r="C727" t="str">
        <f>[5]Sheet1!$D$47</f>
        <v>WILSON JUAN PABLO NACIMENTO YAIBONA</v>
      </c>
      <c r="E727" t="s">
        <v>137</v>
      </c>
      <c r="F727" t="s">
        <v>138</v>
      </c>
      <c r="G727" s="4" t="str">
        <f>[5]Sheet1!B36</f>
        <v>4-09181</v>
      </c>
      <c r="H727" t="str">
        <f>[5]Sheet1!C36</f>
        <v>PRENSA DE BANCO GRANDE COLOR ROJO N¬ 8 N¬ DE PARTE GTY33309 SERIE: HJY5543</v>
      </c>
      <c r="I727" s="5" t="str">
        <f>[5]Sheet1!E36</f>
        <v>Regular</v>
      </c>
    </row>
    <row r="728" spans="1:9" x14ac:dyDescent="0.25">
      <c r="A728" s="4">
        <f t="shared" si="11"/>
        <v>727</v>
      </c>
      <c r="B728" s="4" t="s">
        <v>12</v>
      </c>
      <c r="C728" t="str">
        <f>[5]Sheet1!$D$47</f>
        <v>WILSON JUAN PABLO NACIMENTO YAIBONA</v>
      </c>
      <c r="E728" t="s">
        <v>137</v>
      </c>
      <c r="F728" t="s">
        <v>138</v>
      </c>
      <c r="G728" s="4" t="str">
        <f>[5]Sheet1!B37</f>
        <v>4-09568</v>
      </c>
      <c r="H728" t="str">
        <f>[5]Sheet1!C37</f>
        <v>MONITOR DELL P2419H 23.8 RESOLUCION 1920X1080 CONECTOR HDMI VGA USB S/N 1FHYF03</v>
      </c>
      <c r="I728" s="5" t="str">
        <f>[5]Sheet1!E37</f>
        <v>Regular</v>
      </c>
    </row>
    <row r="729" spans="1:9" x14ac:dyDescent="0.25">
      <c r="A729" s="4">
        <f t="shared" si="11"/>
        <v>728</v>
      </c>
      <c r="B729" s="4" t="s">
        <v>12</v>
      </c>
      <c r="C729" t="str">
        <f>[5]Sheet1!$D$47</f>
        <v>WILSON JUAN PABLO NACIMENTO YAIBONA</v>
      </c>
      <c r="E729" t="s">
        <v>137</v>
      </c>
      <c r="F729" t="s">
        <v>138</v>
      </c>
      <c r="G729" s="4" t="str">
        <f>[5]Sheet1!B38</f>
        <v>4-09185</v>
      </c>
      <c r="H729" t="str">
        <f>[5]Sheet1!C38</f>
        <v>SIERRA CIRCULAR DE MESA MARCA METABO N¬ DE PARTE BBY67636 SERIE: BBY47873</v>
      </c>
      <c r="I729" s="5" t="str">
        <f>[5]Sheet1!E38</f>
        <v>Regular</v>
      </c>
    </row>
    <row r="730" spans="1:9" x14ac:dyDescent="0.25">
      <c r="A730" s="4">
        <f t="shared" si="11"/>
        <v>729</v>
      </c>
      <c r="B730" s="4" t="s">
        <v>12</v>
      </c>
      <c r="C730" t="str">
        <f>[5]Sheet1!$D$47</f>
        <v>WILSON JUAN PABLO NACIMENTO YAIBONA</v>
      </c>
      <c r="E730" t="s">
        <v>137</v>
      </c>
      <c r="F730" t="s">
        <v>138</v>
      </c>
      <c r="G730" s="4" t="str">
        <f>[5]Sheet1!B39</f>
        <v>4-09289</v>
      </c>
      <c r="H730" t="str">
        <f>[5]Sheet1!C39</f>
        <v>SILLON GIRATORIO SEMIEJECUTIVO DE 5 RUEDAS CROMADO ESPALDAR REGULABLE APOYA BRAZOS REGULABLE ASIENTO FORRADO CON TAPIZ DE TRAFICO COLOR NEGRO</v>
      </c>
      <c r="I730" s="5" t="str">
        <f>[5]Sheet1!E39</f>
        <v>Regular</v>
      </c>
    </row>
    <row r="731" spans="1:9" x14ac:dyDescent="0.25">
      <c r="A731" s="4">
        <f t="shared" si="11"/>
        <v>730</v>
      </c>
      <c r="B731" s="4" t="s">
        <v>12</v>
      </c>
      <c r="C731" t="str">
        <f>[5]Sheet1!$D$47</f>
        <v>WILSON JUAN PABLO NACIMENTO YAIBONA</v>
      </c>
      <c r="E731" t="s">
        <v>137</v>
      </c>
      <c r="F731" t="s">
        <v>138</v>
      </c>
      <c r="G731" s="4" t="str">
        <f>[5]Sheet1!B40</f>
        <v>4-09189</v>
      </c>
      <c r="H731" t="str">
        <f>[5]Sheet1!C40</f>
        <v>CARRO PARA PORTAR EQUIPO OXIACETILENICO N¬ DE PARTE RRT57892 SERIE: FFT56534</v>
      </c>
      <c r="I731" s="5" t="str">
        <f>[5]Sheet1!E40</f>
        <v>Regular</v>
      </c>
    </row>
    <row r="732" spans="1:9" x14ac:dyDescent="0.25">
      <c r="A732" s="4">
        <f t="shared" si="11"/>
        <v>731</v>
      </c>
      <c r="B732" s="4" t="s">
        <v>12</v>
      </c>
      <c r="C732" t="str">
        <f>[5]Sheet1!$D$47</f>
        <v>WILSON JUAN PABLO NACIMENTO YAIBONA</v>
      </c>
      <c r="E732" t="s">
        <v>137</v>
      </c>
      <c r="F732" t="s">
        <v>138</v>
      </c>
      <c r="G732" s="4" t="str">
        <f>[5]Sheet1!B41</f>
        <v>4-09184</v>
      </c>
      <c r="H732" t="str">
        <f>[5]Sheet1!C41</f>
        <v>PRENSA HIDRAULICA DE 20 TN., N¬ DE PARTE EER44112 SERIE: FFT56523</v>
      </c>
      <c r="I732" s="5" t="str">
        <f>[5]Sheet1!E41</f>
        <v>Regular</v>
      </c>
    </row>
    <row r="733" spans="1:9" x14ac:dyDescent="0.25">
      <c r="A733" s="4">
        <f t="shared" si="11"/>
        <v>732</v>
      </c>
      <c r="B733" s="4" t="s">
        <v>12</v>
      </c>
      <c r="C733" t="str">
        <f>[5]Sheet1!$D$47</f>
        <v>WILSON JUAN PABLO NACIMENTO YAIBONA</v>
      </c>
      <c r="E733" t="s">
        <v>137</v>
      </c>
      <c r="F733" t="s">
        <v>138</v>
      </c>
      <c r="G733" s="4" t="str">
        <f>[5]Sheet1!B42</f>
        <v>4-09569</v>
      </c>
      <c r="H733" t="str">
        <f>[5]Sheet1!C42</f>
        <v>CPU PROCESARDOR CORE I7 DECIMA GENERACION RAM DE 16GB TARJETA DE GRAFICO GTX 1660 RAM 16 GB</v>
      </c>
      <c r="I733" s="5" t="str">
        <f>[5]Sheet1!E42</f>
        <v>Regular</v>
      </c>
    </row>
    <row r="734" spans="1:9" x14ac:dyDescent="0.25">
      <c r="A734" s="4">
        <f t="shared" si="11"/>
        <v>733</v>
      </c>
      <c r="B734" s="4" t="s">
        <v>12</v>
      </c>
      <c r="C734" t="str">
        <f>[5]Sheet1!$D$47</f>
        <v>WILSON JUAN PABLO NACIMENTO YAIBONA</v>
      </c>
      <c r="E734" t="s">
        <v>137</v>
      </c>
      <c r="F734" t="s">
        <v>138</v>
      </c>
      <c r="G734" s="4" t="str">
        <f>[5]Sheet1!B43</f>
        <v>4-09514</v>
      </c>
      <c r="H734" t="str">
        <f>[5]Sheet1!C43</f>
        <v>MEDICION DE LA SOBREPRESION Y DEPRESION CON DIFERENTES APARATOS DE MEDICION MARCA GUNT MODELO: WL203 SERIE: 234066 PROCEDENCIA ALEMANA</v>
      </c>
      <c r="I734" s="5" t="str">
        <f>[5]Sheet1!E43</f>
        <v>Regular</v>
      </c>
    </row>
    <row r="735" spans="1:9" x14ac:dyDescent="0.25">
      <c r="A735" s="4">
        <f t="shared" si="11"/>
        <v>734</v>
      </c>
      <c r="B735" s="4" t="s">
        <v>12</v>
      </c>
      <c r="C735" t="str">
        <f>[5]Sheet1!$D$47</f>
        <v>WILSON JUAN PABLO NACIMENTO YAIBONA</v>
      </c>
      <c r="E735" t="s">
        <v>137</v>
      </c>
      <c r="F735" t="s">
        <v>138</v>
      </c>
      <c r="G735" s="4" t="str">
        <f>[5]Sheet1!B44</f>
        <v>4-09515</v>
      </c>
      <c r="H735" t="str">
        <f>[5]Sheet1!C44</f>
        <v>MEDICION DE PRESION Y TEMPERATURA EN UNA CALDERA DE VAPOR -1 KIT MARCA GUNT MODELO: WL204, SERIE: 234068 PROCEDENCIA ALEMANA</v>
      </c>
      <c r="I735" s="5" t="str">
        <f>[5]Sheet1!E44</f>
        <v>Regular</v>
      </c>
    </row>
    <row r="736" spans="1:9" x14ac:dyDescent="0.25">
      <c r="A736" s="4">
        <f t="shared" si="11"/>
        <v>735</v>
      </c>
      <c r="B736" s="4" t="s">
        <v>12</v>
      </c>
      <c r="C736" t="str">
        <f>[5]Sheet1!$D$47</f>
        <v>WILSON JUAN PABLO NACIMENTO YAIBONA</v>
      </c>
      <c r="E736" t="s">
        <v>137</v>
      </c>
      <c r="F736" t="s">
        <v>138</v>
      </c>
      <c r="G736" s="4" t="str">
        <f>[5]Sheet1!B45</f>
        <v>4-09513</v>
      </c>
      <c r="H736" t="str">
        <f>[5]Sheet1!C45</f>
        <v>MEDICION DE LAS PROP DE TRANSF DE CAMBIADORES GUNT WL110 S/234069 CON TUBOS CONCENT QUINT WL110,01 S/34070 CAMBIAD DE PLACAS QUINT WL100,02 S/234071</v>
      </c>
      <c r="I736" s="5" t="str">
        <f>[5]Sheet1!E45</f>
        <v>Regular</v>
      </c>
    </row>
    <row r="737" spans="1:9" x14ac:dyDescent="0.25">
      <c r="A737" s="4">
        <f t="shared" si="11"/>
        <v>736</v>
      </c>
      <c r="B737" s="4" t="s">
        <v>12</v>
      </c>
      <c r="C737" t="str">
        <f>[5]Sheet1!$D$47</f>
        <v>WILSON JUAN PABLO NACIMENTO YAIBONA</v>
      </c>
      <c r="E737" t="s">
        <v>137</v>
      </c>
      <c r="F737" t="s">
        <v>138</v>
      </c>
      <c r="G737" s="4" t="str">
        <f>[5]Sheet1!B46</f>
        <v>4-09409</v>
      </c>
      <c r="H737" t="str">
        <f>[5]Sheet1!C46</f>
        <v>EQUIPO DE CONDUCCION DE CALOR POR CONDUCCION MARCA: GUNT MODELO: WL372 SERIE: 234075, PROCEDENCIA ALEMANA</v>
      </c>
      <c r="I737" s="5" t="str">
        <f>[5]Sheet1!E46</f>
        <v>Regular</v>
      </c>
    </row>
    <row r="738" spans="1:9" x14ac:dyDescent="0.25">
      <c r="A738" s="4">
        <f t="shared" si="11"/>
        <v>737</v>
      </c>
      <c r="B738" s="4" t="s">
        <v>12</v>
      </c>
      <c r="C738" t="str">
        <f>[5]Sheet1!$D$47</f>
        <v>WILSON JUAN PABLO NACIMENTO YAIBONA</v>
      </c>
      <c r="E738" t="s">
        <v>137</v>
      </c>
      <c r="F738" t="s">
        <v>138</v>
      </c>
      <c r="G738" s="4" t="str">
        <f>[5]Sheet1!B47</f>
        <v>4-08557</v>
      </c>
      <c r="H738" t="str">
        <f>[5]Sheet1!C47</f>
        <v>EQUIPO DE PROYECCION DATA DISPLAY MARCA CASIO,MOD XJ-F20XN S/N:A995BBBY6A-067292 CON TECNOLOGIA LASER LED CON CHIP DE 0,55" DLP DE 1,024X768 PIXELES</v>
      </c>
      <c r="I738" s="5" t="str">
        <f>[5]Sheet1!E47</f>
        <v>Regular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Rodrigo Alaro Fernandez</dc:creator>
  <cp:lastModifiedBy>Edwin Rodrigo Alaro Fernandez</cp:lastModifiedBy>
  <dcterms:created xsi:type="dcterms:W3CDTF">2025-08-22T18:22:56Z</dcterms:created>
  <dcterms:modified xsi:type="dcterms:W3CDTF">2025-11-07T13:24:46Z</dcterms:modified>
</cp:coreProperties>
</file>